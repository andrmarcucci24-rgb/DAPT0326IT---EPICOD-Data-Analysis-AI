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ZN\Desktop\EPICODE CORSO\esercizi\"/>
    </mc:Choice>
  </mc:AlternateContent>
  <xr:revisionPtr revIDLastSave="0" documentId="13_ncr:1_{FF7DEFCD-4ED2-4852-9ABB-6BD820B5DDA8}" xr6:coauthVersionLast="47" xr6:coauthVersionMax="47" xr10:uidLastSave="{00000000-0000-0000-0000-000000000000}"/>
  <bookViews>
    <workbookView xWindow="-120" yWindow="-120" windowWidth="29040" windowHeight="15720" activeTab="1" xr2:uid="{CE56E516-1B62-4124-9771-D4FC9EA234F2}"/>
  </bookViews>
  <sheets>
    <sheet name="Esercizio 1" sheetId="1" r:id="rId1"/>
    <sheet name="Esercizio 2" sheetId="2" r:id="rId2"/>
  </sheets>
  <definedNames>
    <definedName name="_18_21">'Esercizio 1'!$C$17:$D$17</definedName>
    <definedName name="_22_25">'Esercizio 1'!$C$18:$D$18</definedName>
    <definedName name="_26_30">'Esercizio 1'!$C$19:$D$19</definedName>
    <definedName name="classe">'Esercizio 2'!$A$19:$A$21</definedName>
    <definedName name="classi">'Esercizio 1'!$C$17:$D$19</definedName>
    <definedName name="f">'Esercizio 1'!$D$17:$D$19</definedName>
    <definedName name="f_assoluta">'Esercizio 1'!$C$17:$C$19</definedName>
    <definedName name="frequenza">'Esercizio 2'!$C$19:$C$21</definedName>
    <definedName name="IQR">'Esercizio 2'!$D$8</definedName>
    <definedName name="Q1_">'Esercizio 2'!$D$6</definedName>
    <definedName name="Q3_">'Esercizio 2'!$D$7</definedName>
    <definedName name="studenti" localSheetId="1">'Esercizio 2'!$A$2:$A$14</definedName>
    <definedName name="studenti">'Esercizio 1'!$A$2:$A$13</definedName>
    <definedName name="voti" localSheetId="1">'Esercizio 2'!$B$2:$B$14</definedName>
    <definedName name="voti">'Esercizio 1'!$B$2:$B$13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9" i="2" l="1" a="1"/>
  <c r="C19" i="2" a="1"/>
  <c r="D17" i="1" a="1"/>
  <c r="C18" i="1"/>
  <c r="C19" i="1"/>
  <c r="C17" i="1"/>
  <c r="D4" i="1"/>
  <c r="D4" i="2"/>
  <c r="D5" i="2"/>
  <c r="D7" i="2"/>
  <c r="D6" i="2"/>
  <c r="D3" i="2"/>
  <c r="D2" i="2"/>
  <c r="D8" i="1"/>
  <c r="D7" i="1"/>
  <c r="D6" i="1"/>
  <c r="D5" i="1"/>
  <c r="D3" i="1"/>
  <c r="D2" i="1"/>
  <c r="D8" i="2" l="1"/>
  <c r="D9" i="1"/>
  <c r="D9" i="2" l="1"/>
  <c r="D10" i="2"/>
  <c r="D10" i="1"/>
  <c r="D1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<sst xmlns="http://schemas.openxmlformats.org/spreadsheetml/2006/main" count="46" uniqueCount="35">
  <si>
    <t>studenti</t>
  </si>
  <si>
    <t>voti</t>
  </si>
  <si>
    <t>IQR</t>
  </si>
  <si>
    <t>classi</t>
  </si>
  <si>
    <t>18-21</t>
  </si>
  <si>
    <t>22-25</t>
  </si>
  <si>
    <t>26-30</t>
  </si>
  <si>
    <t>classe modale</t>
  </si>
  <si>
    <t>Q1</t>
  </si>
  <si>
    <t>Q3</t>
  </si>
  <si>
    <t>DEVST</t>
  </si>
  <si>
    <t>VAR</t>
  </si>
  <si>
    <t>MODA</t>
  </si>
  <si>
    <t>MEDIANA</t>
  </si>
  <si>
    <t>MEDIA</t>
  </si>
  <si>
    <t>classe</t>
  </si>
  <si>
    <t xml:space="preserve">frequenza </t>
  </si>
  <si>
    <t>26-95</t>
  </si>
  <si>
    <t xml:space="preserve">classe modale </t>
  </si>
  <si>
    <t>STDEV</t>
  </si>
  <si>
    <t>VARIANZA</t>
  </si>
  <si>
    <t>26-95 (Asimmetrica a sinistra</t>
  </si>
  <si>
    <t>26-30 (Asimmetrica a sinistra)</t>
  </si>
  <si>
    <t>frequenza %</t>
  </si>
  <si>
    <t>frequenza</t>
  </si>
  <si>
    <t>limiti superiori</t>
  </si>
  <si>
    <t>frequenza%</t>
  </si>
  <si>
    <t>OUTLIER</t>
  </si>
  <si>
    <t>limiti</t>
  </si>
  <si>
    <t>NO</t>
  </si>
  <si>
    <t xml:space="preserve">LIMITE SUPERIORE </t>
  </si>
  <si>
    <t>LIMITE INFERIORE</t>
  </si>
  <si>
    <t>Analisi</t>
  </si>
  <si>
    <t xml:space="preserve">LIMITE INFERIORE </t>
  </si>
  <si>
    <t>LIMITE SUPERIORE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</si>
</sst>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9" fontId="1" fillId="0" borderId="1" xfId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voti 12 studenti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'Esercizio 1'!$D$16</c:f>
              <c:strCache>
                <c:ptCount val="1"/>
                <c:pt idx="0">
                  <c:v>frequenza%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8</a:t>
                    </a:r>
                    <a:r>
                      <a:rPr lang="en-US" baseline="0"/>
                      <a:t> %</a:t>
                    </a:r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E839-457A-9DF4-95108DDC85F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25</a:t>
                    </a:r>
                    <a:r>
                      <a:rPr lang="en-US" baseline="0"/>
                      <a:t> %</a:t>
                    </a:r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E839-457A-9DF4-95108DDC85F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67</a:t>
                    </a:r>
                    <a:r>
                      <a:rPr lang="en-US" baseline="0"/>
                      <a:t> %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E839-457A-9DF4-95108DDC85F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'Esercizio 1'!$A$17:$A$19</c:f>
              <c:strCache>
                <c:ptCount val="3"/>
                <c:pt idx="0">
                  <c:v>18-21</c:v>
                </c:pt>
                <c:pt idx="1">
                  <c:v>22-25</c:v>
                </c:pt>
                <c:pt idx="2">
                  <c:v>26-30</c:v>
                </c:pt>
              </c:strCache>
            </c:strRef>
          </c:cat>
          <c:val>
            <c:numRef>
              <c:f>'Esercizio 1'!$D$17:$D$19</c:f>
              <c:numCache>
                <c:formatCode>0%</c:formatCode>
                <c:ptCount val="3"/>
                <c:pt idx="0">
                  <c:v>8.3333333333333329E-2</c:v>
                </c:pt>
                <c:pt idx="1">
                  <c:v>0.25</c:v>
                </c:pt>
                <c:pt idx="2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39-457A-9DF4-95108DDC85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59619535"/>
        <c:axId val="47488657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'Esercizio 1'!$C$16</c15:sqref>
                        </c15:formulaRef>
                      </c:ext>
                    </c:extLst>
                    <c:strCache>
                      <c:ptCount val="1"/>
                      <c:pt idx="0">
                        <c:v>frequenza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it-IT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'Esercizio 1'!$A$17:$A$19</c15:sqref>
                        </c15:formulaRef>
                      </c:ext>
                    </c:extLst>
                    <c:strCache>
                      <c:ptCount val="3"/>
                      <c:pt idx="0">
                        <c:v>18-21</c:v>
                      </c:pt>
                      <c:pt idx="1">
                        <c:v>22-25</c:v>
                      </c:pt>
                      <c:pt idx="2">
                        <c:v>26-30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'Esercizio 1'!$C$17:$C$19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</c:v>
                      </c:pt>
                      <c:pt idx="1">
                        <c:v>3</c:v>
                      </c:pt>
                      <c:pt idx="2">
                        <c:v>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E839-457A-9DF4-95108DDC85F4}"/>
                  </c:ext>
                </c:extLst>
              </c15:ser>
            </c15:filteredBarSeries>
          </c:ext>
        </c:extLst>
      </c:barChart>
      <c:catAx>
        <c:axId val="659619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74886575"/>
        <c:crosses val="autoZero"/>
        <c:auto val="1"/>
        <c:lblAlgn val="ctr"/>
        <c:lblOffset val="100"/>
        <c:noMultiLvlLbl val="0"/>
      </c:catAx>
      <c:valAx>
        <c:axId val="474886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59619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voti</a:t>
            </a:r>
            <a:r>
              <a:rPr lang="it-IT" baseline="0"/>
              <a:t> 13 studenti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'Esercizio 2'!$D$18</c:f>
              <c:strCache>
                <c:ptCount val="1"/>
                <c:pt idx="0">
                  <c:v>frequenza 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8</a:t>
                    </a:r>
                    <a:r>
                      <a:rPr lang="en-US" baseline="0"/>
                      <a:t> %</a:t>
                    </a:r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2616-4C35-84B5-2FF78E2EBD8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23</a:t>
                    </a:r>
                    <a:r>
                      <a:rPr lang="en-US" baseline="0"/>
                      <a:t> %</a:t>
                    </a:r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2616-4C35-84B5-2FF78E2EBD8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69 %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2616-4C35-84B5-2FF78E2EBD8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'Esercizio 2'!$A$19:$A$21</c:f>
              <c:strCache>
                <c:ptCount val="3"/>
                <c:pt idx="0">
                  <c:v>18-21</c:v>
                </c:pt>
                <c:pt idx="1">
                  <c:v>22-25</c:v>
                </c:pt>
                <c:pt idx="2">
                  <c:v>26-95</c:v>
                </c:pt>
              </c:strCache>
            </c:strRef>
          </c:cat>
          <c:val>
            <c:numRef>
              <c:f>'Esercizio 2'!$D$19:$D$21</c:f>
              <c:numCache>
                <c:formatCode>0%</c:formatCode>
                <c:ptCount val="3"/>
                <c:pt idx="0">
                  <c:v>7.6923076923076927E-2</c:v>
                </c:pt>
                <c:pt idx="1">
                  <c:v>0.23076923076923078</c:v>
                </c:pt>
                <c:pt idx="2">
                  <c:v>0.69230769230769229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16-4C35-84B5-2FF78E2EBD8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37354336"/>
        <c:axId val="187520737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'Esercizio 2'!$C$18</c15:sqref>
                        </c15:formulaRef>
                      </c:ext>
                    </c:extLst>
                    <c:strCache>
                      <c:ptCount val="1"/>
                      <c:pt idx="0">
                        <c:v>frequenza 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it-IT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'Esercizio 2'!$A$19:$A$21</c15:sqref>
                        </c15:formulaRef>
                      </c:ext>
                    </c:extLst>
                    <c:strCache>
                      <c:ptCount val="3"/>
                      <c:pt idx="0">
                        <c:v>18-21</c:v>
                      </c:pt>
                      <c:pt idx="1">
                        <c:v>22-25</c:v>
                      </c:pt>
                      <c:pt idx="2">
                        <c:v>26-95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'Esercizio 2'!$C$19:$C$21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</c:v>
                      </c:pt>
                      <c:pt idx="1">
                        <c:v>3</c:v>
                      </c:pt>
                      <c:pt idx="2">
                        <c:v>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2616-4C35-84B5-2FF78E2EBD81}"/>
                  </c:ext>
                </c:extLst>
              </c15:ser>
            </c15:filteredBarSeries>
          </c:ext>
        </c:extLst>
      </c:barChart>
      <c:catAx>
        <c:axId val="1737354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5207376"/>
        <c:crosses val="autoZero"/>
        <c:auto val="1"/>
        <c:lblAlgn val="ctr"/>
        <c:lblOffset val="100"/>
        <c:noMultiLvlLbl val="0"/>
      </c:catAx>
      <c:valAx>
        <c:axId val="187520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37354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38099</xdr:colOff>
      <xdr:row>20</xdr:row>
      <xdr:rowOff>14287</xdr:rowOff>
    </xdr:from>
    <xdr:to>
      <xdr:col>2</xdr:col>
      <xdr:colOff>1990724</xdr:colOff>
      <xdr:row>34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BB0C7FD-9C34-3523-9DEA-9F6D2B44E7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21167</xdr:rowOff>
    </xdr:from>
    <xdr:to>
      <xdr:col>2</xdr:col>
      <xdr:colOff>1756834</xdr:colOff>
      <xdr:row>36</xdr:row>
      <xdr:rowOff>121179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22A8A10-7646-2E6D-6341-4B873E40D5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B57F3-ECC1-4857-B94D-BB4A9A013807}">
  <dimension ref="A1:D22"/>
  <sheetViews>
    <sheetView zoomScale="84" workbookViewId="0">
      <selection activeCell="F13" sqref="F13"/>
    </sheetView>
  </sheetViews>
  <sheetFormatPr defaultColWidth="30" defaultRowHeight="15" x14ac:dyDescent="0.25"/>
  <cols>
    <col min="1" max="16384" width="30" style="2"/>
  </cols>
  <sheetData>
    <row r="1" spans="1:4" x14ac:dyDescent="0.25">
      <c r="A1" s="7" t="s">
        <v>0</v>
      </c>
      <c r="B1" s="7" t="s">
        <v>1</v>
      </c>
      <c r="C1" s="12" t="s">
        <v>32</v>
      </c>
      <c r="D1" s="12"/>
    </row>
    <row r="2" spans="1:4" x14ac:dyDescent="0.25">
      <c r="A2" s="6">
        <v>1</v>
      </c>
      <c r="B2" s="6">
        <v>18</v>
      </c>
      <c r="C2" s="9" t="s">
        <v>14</v>
      </c>
      <c r="D2" s="5">
        <f>AVERAGE(voti)</f>
        <v>26.666666666666668</v>
      </c>
    </row>
    <row r="3" spans="1:4" x14ac:dyDescent="0.25">
      <c r="A3" s="6">
        <v>2</v>
      </c>
      <c r="B3" s="6">
        <v>22</v>
      </c>
      <c r="C3" s="9" t="s">
        <v>13</v>
      </c>
      <c r="D3" s="5">
        <f>MEDIAN(voti)</f>
        <v>28</v>
      </c>
    </row>
    <row r="4" spans="1:4" x14ac:dyDescent="0.25">
      <c r="A4" s="6">
        <v>3</v>
      </c>
      <c r="B4" s="6">
        <v>25</v>
      </c>
      <c r="C4" s="9" t="s">
        <v>12</v>
      </c>
      <c r="D4" s="5">
        <f>_xlfn.MODE.SNGL(voti)</f>
        <v>28</v>
      </c>
    </row>
    <row r="5" spans="1:4" x14ac:dyDescent="0.25">
      <c r="A5" s="6">
        <v>4</v>
      </c>
      <c r="B5" s="6">
        <v>25</v>
      </c>
      <c r="C5" s="9" t="s">
        <v>11</v>
      </c>
      <c r="D5" s="5">
        <f>_xlfn.VAR.P(voti)</f>
        <v>12.222222222222221</v>
      </c>
    </row>
    <row r="6" spans="1:4" x14ac:dyDescent="0.25">
      <c r="A6" s="6">
        <v>5</v>
      </c>
      <c r="B6" s="6">
        <v>27</v>
      </c>
      <c r="C6" s="9" t="s">
        <v>10</v>
      </c>
      <c r="D6" s="5">
        <f>_xlfn.STDEV.P(voti)</f>
        <v>3.496029493900505</v>
      </c>
    </row>
    <row r="7" spans="1:4" x14ac:dyDescent="0.25">
      <c r="A7" s="6">
        <v>6</v>
      </c>
      <c r="B7" s="6">
        <v>28</v>
      </c>
      <c r="C7" s="9" t="s">
        <v>8</v>
      </c>
      <c r="D7" s="5">
        <f>_xlfn.QUARTILE.INC(voti,1)</f>
        <v>25</v>
      </c>
    </row>
    <row r="8" spans="1:4" x14ac:dyDescent="0.25">
      <c r="A8" s="6">
        <v>7</v>
      </c>
      <c r="B8" s="6">
        <v>28</v>
      </c>
      <c r="C8" s="9" t="s">
        <v>9</v>
      </c>
      <c r="D8" s="5">
        <f>_xlfn.QUARTILE.INC(voti,3)</f>
        <v>29.25</v>
      </c>
    </row>
    <row r="9" spans="1:4" x14ac:dyDescent="0.25">
      <c r="A9" s="6">
        <v>8</v>
      </c>
      <c r="B9" s="6">
        <v>28</v>
      </c>
      <c r="C9" s="9" t="s">
        <v>2</v>
      </c>
      <c r="D9" s="5">
        <f>(D8-D7)</f>
        <v>4.25</v>
      </c>
    </row>
    <row r="10" spans="1:4" x14ac:dyDescent="0.25">
      <c r="A10" s="6">
        <v>9</v>
      </c>
      <c r="B10" s="6">
        <v>29</v>
      </c>
      <c r="C10" s="9" t="s">
        <v>33</v>
      </c>
      <c r="D10" s="5">
        <f>(D7-(1.5*D9))</f>
        <v>18.625</v>
      </c>
    </row>
    <row r="11" spans="1:4" x14ac:dyDescent="0.25">
      <c r="A11" s="6">
        <v>10</v>
      </c>
      <c r="B11" s="6">
        <v>30</v>
      </c>
      <c r="C11" s="9" t="s">
        <v>34</v>
      </c>
      <c r="D11" s="5">
        <f>(D8+(1.5*D9))</f>
        <v>35.625</v>
      </c>
    </row>
    <row r="12" spans="1:4" x14ac:dyDescent="0.25">
      <c r="A12" s="6">
        <v>11</v>
      </c>
      <c r="B12" s="6">
        <v>30</v>
      </c>
      <c r="C12" s="9" t="s">
        <v>27</v>
      </c>
      <c r="D12" s="5" t="s">
        <v>29</v>
      </c>
    </row>
    <row r="13" spans="1:4" x14ac:dyDescent="0.25">
      <c r="A13" s="6">
        <v>12</v>
      </c>
      <c r="B13" s="6">
        <v>30</v>
      </c>
    </row>
    <row r="16" spans="1:4" x14ac:dyDescent="0.25">
      <c r="A16" s="8" t="s">
        <v>3</v>
      </c>
      <c r="B16" s="8" t="s">
        <v>25</v>
      </c>
      <c r="C16" s="8" t="s">
        <v>24</v>
      </c>
      <c r="D16" s="8" t="s">
        <v>26</v>
      </c>
    </row>
    <row r="17" spans="1:4" x14ac:dyDescent="0.25">
      <c r="A17" s="5" t="s">
        <v>4</v>
      </c>
      <c r="B17" s="5">
        <v>21</v>
      </c>
      <c r="C17" s="5">
        <f>COUNTIFS(voti,"&gt;=18",voti,"&lt;21")</f>
        <v>1</v>
      </c>
      <c r="D17" s="10" cm="1">
        <f t="array" ref="D17:D19">_xlfn.TAKE(FREQUENCY(voti,B17:B19),3)/COUNT(voti)</f>
        <v>8.3333333333333329E-2</v>
      </c>
    </row>
    <row r="18" spans="1:4" x14ac:dyDescent="0.25">
      <c r="A18" s="5" t="s">
        <v>5</v>
      </c>
      <c r="B18" s="5">
        <v>25</v>
      </c>
      <c r="C18" s="5">
        <f>COUNTIFS(voti,"&gt;=22",voti,"&lt;26")</f>
        <v>3</v>
      </c>
      <c r="D18" s="10">
        <v>0.25</v>
      </c>
    </row>
    <row r="19" spans="1:4" x14ac:dyDescent="0.25">
      <c r="A19" s="5" t="s">
        <v>6</v>
      </c>
      <c r="B19" s="5">
        <v>30</v>
      </c>
      <c r="C19" s="5">
        <f>COUNTIFS(voti,"&gt;=26",voti,"&lt;31")</f>
        <v>8</v>
      </c>
      <c r="D19" s="10">
        <v>0.66666666666666663</v>
      </c>
    </row>
    <row r="21" spans="1:4" x14ac:dyDescent="0.25">
      <c r="A21" s="1"/>
      <c r="D21" s="3" t="s">
        <v>7</v>
      </c>
    </row>
    <row r="22" spans="1:4" x14ac:dyDescent="0.25">
      <c r="D22" s="4" t="s">
        <v>22</v>
      </c>
    </row>
  </sheetData>
  <mergeCells count="1">
    <mergeCell ref="C1:D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24E88-7303-4A51-AA20-9D900A18F1F7}">
  <dimension ref="A1:D24"/>
  <sheetViews>
    <sheetView tabSelected="1" zoomScale="87" zoomScaleNormal="90" workbookViewId="0">
      <selection activeCell="F20" sqref="F20"/>
    </sheetView>
  </sheetViews>
  <sheetFormatPr defaultColWidth="26.5703125" defaultRowHeight="15" x14ac:dyDescent="0.25"/>
  <cols>
    <col min="1" max="2" width="26.5703125" style="2"/>
    <col min="3" max="3" width="26.5703125" style="1" customWidth="1"/>
    <col min="4" max="16384" width="26.5703125" style="2"/>
  </cols>
  <sheetData>
    <row r="1" spans="1:4" x14ac:dyDescent="0.25">
      <c r="A1" s="7" t="s">
        <v>0</v>
      </c>
      <c r="B1" s="7" t="s">
        <v>1</v>
      </c>
      <c r="C1" s="12" t="s">
        <v>32</v>
      </c>
      <c r="D1" s="12"/>
    </row>
    <row r="2" spans="1:4" x14ac:dyDescent="0.25">
      <c r="A2" s="6">
        <v>1</v>
      </c>
      <c r="B2" s="6">
        <v>18</v>
      </c>
      <c r="C2" s="9" t="s">
        <v>14</v>
      </c>
      <c r="D2" s="5">
        <f>AVERAGE(voti)</f>
        <v>31.923076923076923</v>
      </c>
    </row>
    <row r="3" spans="1:4" x14ac:dyDescent="0.25">
      <c r="A3" s="6">
        <v>2</v>
      </c>
      <c r="B3" s="6">
        <v>22</v>
      </c>
      <c r="C3" s="9" t="s">
        <v>13</v>
      </c>
      <c r="D3" s="5">
        <f>MEDIAN(voti)</f>
        <v>28</v>
      </c>
    </row>
    <row r="4" spans="1:4" x14ac:dyDescent="0.25">
      <c r="A4" s="6">
        <v>3</v>
      </c>
      <c r="B4" s="6">
        <v>25</v>
      </c>
      <c r="C4" s="9" t="s">
        <v>20</v>
      </c>
      <c r="D4" s="5">
        <f>_xlfn.VAR.P(voti)</f>
        <v>342.84023668639054</v>
      </c>
    </row>
    <row r="5" spans="1:4" x14ac:dyDescent="0.25">
      <c r="A5" s="6">
        <v>4</v>
      </c>
      <c r="B5" s="6">
        <v>25</v>
      </c>
      <c r="C5" s="9" t="s">
        <v>19</v>
      </c>
      <c r="D5" s="5">
        <f>_xlfn.STDEV.P(voti)</f>
        <v>18.515945471036325</v>
      </c>
    </row>
    <row r="6" spans="1:4" x14ac:dyDescent="0.25">
      <c r="A6" s="6">
        <v>5</v>
      </c>
      <c r="B6" s="6">
        <v>27</v>
      </c>
      <c r="C6" s="9" t="s">
        <v>8</v>
      </c>
      <c r="D6" s="5">
        <f>_xlfn.QUARTILE.INC(voti,1)</f>
        <v>25</v>
      </c>
    </row>
    <row r="7" spans="1:4" x14ac:dyDescent="0.25">
      <c r="A7" s="6">
        <v>6</v>
      </c>
      <c r="B7" s="6">
        <v>28</v>
      </c>
      <c r="C7" s="9" t="s">
        <v>9</v>
      </c>
      <c r="D7" s="5">
        <f>_xlfn.QUARTILE.INC(voti,3)</f>
        <v>30</v>
      </c>
    </row>
    <row r="8" spans="1:4" x14ac:dyDescent="0.25">
      <c r="A8" s="6">
        <v>7</v>
      </c>
      <c r="B8" s="6">
        <v>28</v>
      </c>
      <c r="C8" s="9" t="s">
        <v>2</v>
      </c>
      <c r="D8" s="5">
        <f>Q3_-Q1_</f>
        <v>5</v>
      </c>
    </row>
    <row r="9" spans="1:4" x14ac:dyDescent="0.25">
      <c r="A9" s="6">
        <v>8</v>
      </c>
      <c r="B9" s="11">
        <v>28</v>
      </c>
      <c r="C9" s="9" t="s">
        <v>31</v>
      </c>
      <c r="D9" s="5">
        <f>(Q1_-(1.5*IQR))</f>
        <v>17.5</v>
      </c>
    </row>
    <row r="10" spans="1:4" x14ac:dyDescent="0.25">
      <c r="A10" s="6">
        <v>9</v>
      </c>
      <c r="B10" s="6">
        <v>29</v>
      </c>
      <c r="C10" s="9" t="s">
        <v>30</v>
      </c>
      <c r="D10" s="5">
        <f>(Q3_+(1.5*IQR))</f>
        <v>37.5</v>
      </c>
    </row>
    <row r="11" spans="1:4" x14ac:dyDescent="0.25">
      <c r="A11" s="6">
        <v>10</v>
      </c>
      <c r="B11" s="6">
        <v>30</v>
      </c>
      <c r="C11" s="9" t="s">
        <v>27</v>
      </c>
      <c r="D11" s="5">
        <v>95</v>
      </c>
    </row>
    <row r="12" spans="1:4" x14ac:dyDescent="0.25">
      <c r="A12" s="6">
        <v>11</v>
      </c>
      <c r="B12" s="6">
        <v>30</v>
      </c>
      <c r="C12" s="2"/>
    </row>
    <row r="13" spans="1:4" x14ac:dyDescent="0.25">
      <c r="A13" s="6">
        <v>12</v>
      </c>
      <c r="B13" s="6">
        <v>30</v>
      </c>
    </row>
    <row r="14" spans="1:4" x14ac:dyDescent="0.25">
      <c r="A14" s="6">
        <v>13</v>
      </c>
      <c r="B14" s="6">
        <v>95</v>
      </c>
    </row>
    <row r="18" spans="1:4" x14ac:dyDescent="0.25">
      <c r="A18" s="8" t="s">
        <v>15</v>
      </c>
      <c r="B18" s="8" t="s">
        <v>28</v>
      </c>
      <c r="C18" s="8" t="s">
        <v>16</v>
      </c>
      <c r="D18" s="8" t="s">
        <v>23</v>
      </c>
    </row>
    <row r="19" spans="1:4" x14ac:dyDescent="0.25">
      <c r="A19" s="5" t="s">
        <v>4</v>
      </c>
      <c r="B19" s="5">
        <v>21</v>
      </c>
      <c r="C19" s="5" cm="1">
        <f t="array" ref="C19:C21">_xlfn.TAKE(FREQUENCY(voti,B19:B21),3)</f>
        <v>1</v>
      </c>
      <c r="D19" s="10" cm="1">
        <f t="array" ref="D19:D21">_xlfn.TAKE(FREQUENCY(voti,B19:B21),3)/COUNT(voti)</f>
        <v>7.6923076923076927E-2</v>
      </c>
    </row>
    <row r="20" spans="1:4" x14ac:dyDescent="0.25">
      <c r="A20" s="5" t="s">
        <v>5</v>
      </c>
      <c r="B20" s="5">
        <v>25</v>
      </c>
      <c r="C20" s="5">
        <v>3</v>
      </c>
      <c r="D20" s="10">
        <v>0.23076923076923078</v>
      </c>
    </row>
    <row r="21" spans="1:4" x14ac:dyDescent="0.25">
      <c r="A21" s="5" t="s">
        <v>17</v>
      </c>
      <c r="B21" s="5">
        <v>95</v>
      </c>
      <c r="C21" s="5">
        <v>9</v>
      </c>
      <c r="D21" s="10">
        <v>0.69230769230769229</v>
      </c>
    </row>
    <row r="23" spans="1:4" x14ac:dyDescent="0.25">
      <c r="A23" s="1"/>
      <c r="D23" s="3" t="s">
        <v>18</v>
      </c>
    </row>
    <row r="24" spans="1:4" x14ac:dyDescent="0.25">
      <c r="D24" s="4" t="s">
        <v>21</v>
      </c>
    </row>
  </sheetData>
  <mergeCells count="1">
    <mergeCell ref="C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15</vt:i4>
      </vt:variant>
    </vt:vector>
  </HeadingPairs>
  <TitlesOfParts>
    <vt:vector size="17" baseType="lpstr">
      <vt:lpstr>Esercizio 1</vt:lpstr>
      <vt:lpstr>Esercizio 2</vt:lpstr>
      <vt:lpstr>_18_21</vt:lpstr>
      <vt:lpstr>_22_25</vt:lpstr>
      <vt:lpstr>_26_30</vt:lpstr>
      <vt:lpstr>classe</vt:lpstr>
      <vt:lpstr>classi</vt:lpstr>
      <vt:lpstr>f</vt:lpstr>
      <vt:lpstr>f_assoluta</vt:lpstr>
      <vt:lpstr>frequenza</vt:lpstr>
      <vt:lpstr>IQR</vt:lpstr>
      <vt:lpstr>Q1_</vt:lpstr>
      <vt:lpstr>Q3_</vt:lpstr>
      <vt:lpstr>'Esercizio 2'!studenti</vt:lpstr>
      <vt:lpstr>studenti</vt:lpstr>
      <vt:lpstr>'Esercizio 2'!voti</vt:lpstr>
      <vt:lpstr>voti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Iole Di Capua</dc:creator>
  <cp:lastModifiedBy>Iole Di Capua</cp:lastModifiedBy>
  <dcterms:created xsi:type="dcterms:W3CDTF">2026-06-30T05:55:30Z</dcterms:created>
  <dcterms:modified xsi:type="dcterms:W3CDTF">2026-07-12T16:47:36Z</dcterms:modified>
</cp:coreProperties>
</file>