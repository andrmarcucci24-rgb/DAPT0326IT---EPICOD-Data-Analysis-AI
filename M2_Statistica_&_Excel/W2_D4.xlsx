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07730A81-FC04-4C1C-98A6-34889841C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ercizo_p_value_sig" sheetId="2" r:id="rId1"/>
    <sheet name="Esercizio_p_value_non_sig" sheetId="3" r:id="rId2"/>
    <sheet name="Esercizio_test_AB" sheetId="4" r:id="rId3"/>
  </sheets>
  <definedNames>
    <definedName name="AGroup">Esercizio_p_value_non_sig!$A$5:$A$45</definedName>
    <definedName name="BGroup">Esercizio_p_value_non_sig!$B$5:$B$45</definedName>
    <definedName name="groupA">Esercizo_p_value_sig!$A$5</definedName>
    <definedName name="gruppoA">Esercizo_p_value_sig!$A$6:$A$45</definedName>
    <definedName name="gruppoB">Esercizo_p_value_sig!$B$6:$B$45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E23" i="3"/>
  <c r="E22" i="3"/>
  <c r="E25" i="2"/>
  <c r="E26" i="2" s="1"/>
  <c r="E21" i="3"/>
  <c r="E19" i="3"/>
  <c r="E18" i="3"/>
  <c r="E12" i="3"/>
  <c r="E11" i="3"/>
  <c r="E17" i="3"/>
  <c r="E16" i="3"/>
  <c r="B16" i="4"/>
  <c r="B12" i="4"/>
  <c r="E22" i="2"/>
  <c r="E21" i="2"/>
  <c r="E24" i="2"/>
  <c r="E20" i="2"/>
  <c r="E19" i="2"/>
  <c r="F26" i="2" l="1"/>
</calcChain>
</file>

<file path=xl/sharedStrings.xml><?xml version="1.0" encoding="utf-8"?>
<sst xmlns="http://schemas.openxmlformats.org/spreadsheetml/2006/main" count="88" uniqueCount="55">
  <si>
    <t>Gruppo A - vecchia email</t>
  </si>
  <si>
    <t>Gruppo B - nuova email</t>
  </si>
  <si>
    <t>H0</t>
  </si>
  <si>
    <t>H1</t>
  </si>
  <si>
    <t>La nuova e-mail produce una differenza negli acquisti ?</t>
  </si>
  <si>
    <t>alpha</t>
  </si>
  <si>
    <t>p-value</t>
  </si>
  <si>
    <t>N(A)</t>
  </si>
  <si>
    <t>N(B)</t>
  </si>
  <si>
    <t>Errore di tipo II: Non rifiutare H0 quando è falsa, falso negativo</t>
  </si>
  <si>
    <t>Errore di tipo I: Rifiutare H0 quando vera, falso positivo</t>
  </si>
  <si>
    <t>Esercizio 5.</t>
  </si>
  <si>
    <t xml:space="preserve">valori </t>
  </si>
  <si>
    <t>parametri</t>
  </si>
  <si>
    <t>P(A) = P(B)</t>
  </si>
  <si>
    <t>P(B) &gt; P(A)</t>
  </si>
  <si>
    <t>Ipotesi</t>
  </si>
  <si>
    <t>metrica</t>
  </si>
  <si>
    <t>la variante cambia la metrica?</t>
  </si>
  <si>
    <t xml:space="preserve">numero di acquisti/numero di visitatori </t>
  </si>
  <si>
    <t xml:space="preserve">Gruppo A </t>
  </si>
  <si>
    <t>Controllo</t>
  </si>
  <si>
    <t>Gruppo B</t>
  </si>
  <si>
    <t xml:space="preserve">Variante </t>
  </si>
  <si>
    <t>utenti gruppo A</t>
  </si>
  <si>
    <t>utenti gruppo B</t>
  </si>
  <si>
    <t>coda</t>
  </si>
  <si>
    <t>confidenza</t>
  </si>
  <si>
    <t>tot utenti</t>
  </si>
  <si>
    <t>durata</t>
  </si>
  <si>
    <t>1 mese</t>
  </si>
  <si>
    <t>test A/B</t>
  </si>
  <si>
    <t>Esercizio 1</t>
  </si>
  <si>
    <t>formula H0 e H1 per la domanda: La nuova email produce una differenza negli acquisti?</t>
  </si>
  <si>
    <t>Esercizio 2</t>
  </si>
  <si>
    <t>Apri il file excel e utilizza la funzione TEST.T e annota il p-value ottenuto.</t>
  </si>
  <si>
    <t>Esercizio 3</t>
  </si>
  <si>
    <t>con α = 0,05, decidi se rifiutare H0 e scrivi la conclusione. Motiva la risposta confrontando il p-value con α.</t>
  </si>
  <si>
    <t>Esercizio 4.</t>
  </si>
  <si>
    <t>riferendoti al caso appena analizzato descrivi un errore di tipo I e di tipo II</t>
  </si>
  <si>
    <t xml:space="preserve">nessuna differenza </t>
  </si>
  <si>
    <t xml:space="preserve">produce differenze </t>
  </si>
  <si>
    <t>Data</t>
  </si>
  <si>
    <t>Gruppo A</t>
  </si>
  <si>
    <t xml:space="preserve">Controllo </t>
  </si>
  <si>
    <t>Variante</t>
  </si>
  <si>
    <t>Media A</t>
  </si>
  <si>
    <t>Media B</t>
  </si>
  <si>
    <t>Code</t>
  </si>
  <si>
    <t>deviazione standard A</t>
  </si>
  <si>
    <t>deviazione standard B</t>
  </si>
  <si>
    <t>α</t>
  </si>
  <si>
    <t>result</t>
  </si>
  <si>
    <t>Progetta test A/B: nuova versione della pagina iniziale di un sito web (B) aumento del tasso di acquisto rispetto alla versione attuale (A)</t>
  </si>
  <si>
    <t xml:space="preserve">confidenza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</si>
</sst>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1"/>
      <name val="Carlito"/>
    </font>
    <font>
      <b/>
      <u/>
      <sz val="11"/>
      <name val="Carlito"/>
    </font>
    <font>
      <b/>
      <sz val="11"/>
      <color theme="1"/>
      <name val="Carlito"/>
    </font>
    <font>
      <b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3" fillId="4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42D5-6E74-4D64-BD69-F3480C558717}">
  <dimension ref="A1:F52"/>
  <sheetViews>
    <sheetView tabSelected="1" workbookViewId="0">
      <selection activeCell="D23" sqref="D23"/>
    </sheetView>
  </sheetViews>
  <sheetFormatPr defaultColWidth="34.25" defaultRowHeight="14.25"/>
  <cols>
    <col min="1" max="1" width="25" customWidth="1"/>
    <col min="2" max="2" width="66.375" customWidth="1"/>
    <col min="3" max="4" width="34.25" style="6"/>
    <col min="5" max="5" width="40.625" customWidth="1"/>
    <col min="6" max="6" width="95" customWidth="1"/>
  </cols>
  <sheetData>
    <row r="1" spans="1:5" ht="17.25">
      <c r="A1" s="2" t="s">
        <v>4</v>
      </c>
      <c r="C1" s="13" t="s">
        <v>32</v>
      </c>
      <c r="D1" t="s">
        <v>33</v>
      </c>
    </row>
    <row r="2" spans="1:5" ht="17.25">
      <c r="C2" s="13" t="s">
        <v>34</v>
      </c>
      <c r="D2" t="s">
        <v>35</v>
      </c>
    </row>
    <row r="3" spans="1:5" ht="17.25">
      <c r="C3" s="13" t="s">
        <v>36</v>
      </c>
      <c r="D3" t="s">
        <v>37</v>
      </c>
    </row>
    <row r="5" spans="1:5" ht="15">
      <c r="A5" s="4" t="s">
        <v>0</v>
      </c>
      <c r="B5" s="4" t="s">
        <v>1</v>
      </c>
    </row>
    <row r="6" spans="1:5" ht="17.25">
      <c r="A6" s="5">
        <v>65</v>
      </c>
      <c r="B6" s="5">
        <v>56</v>
      </c>
      <c r="D6" s="20" t="s">
        <v>16</v>
      </c>
      <c r="E6" s="20"/>
    </row>
    <row r="7" spans="1:5" ht="15">
      <c r="A7" s="5">
        <v>24</v>
      </c>
      <c r="B7" s="5">
        <v>60</v>
      </c>
      <c r="D7" s="10" t="s">
        <v>43</v>
      </c>
      <c r="E7" s="7" t="s">
        <v>44</v>
      </c>
    </row>
    <row r="8" spans="1:5" ht="15">
      <c r="A8" s="5">
        <v>51</v>
      </c>
      <c r="B8" s="5">
        <v>50</v>
      </c>
      <c r="D8" s="10" t="s">
        <v>22</v>
      </c>
      <c r="E8" s="7" t="s">
        <v>45</v>
      </c>
    </row>
    <row r="9" spans="1:5" ht="17.25">
      <c r="A9" s="5">
        <v>42</v>
      </c>
      <c r="B9" s="5">
        <v>44</v>
      </c>
      <c r="D9" s="15" t="s">
        <v>2</v>
      </c>
      <c r="E9" s="7" t="s">
        <v>40</v>
      </c>
    </row>
    <row r="10" spans="1:5" ht="17.25">
      <c r="A10" s="5">
        <v>43</v>
      </c>
      <c r="B10" s="5">
        <v>54</v>
      </c>
      <c r="D10" s="15" t="s">
        <v>3</v>
      </c>
      <c r="E10" s="7" t="s">
        <v>41</v>
      </c>
    </row>
    <row r="11" spans="1:5" ht="15">
      <c r="A11" s="5">
        <v>45</v>
      </c>
      <c r="B11" s="5">
        <v>54</v>
      </c>
      <c r="D11" s="10" t="s">
        <v>48</v>
      </c>
      <c r="E11" s="7">
        <v>2</v>
      </c>
    </row>
    <row r="12" spans="1:5" ht="15">
      <c r="A12" s="5">
        <v>29</v>
      </c>
      <c r="B12" s="5">
        <v>67</v>
      </c>
      <c r="D12" s="10" t="s">
        <v>7</v>
      </c>
      <c r="E12" s="7">
        <f>COUNT(AGroup)</f>
        <v>40</v>
      </c>
    </row>
    <row r="13" spans="1:5" ht="15">
      <c r="A13" s="5">
        <v>45</v>
      </c>
      <c r="B13" s="5">
        <v>61</v>
      </c>
      <c r="D13" s="10" t="s">
        <v>8</v>
      </c>
      <c r="E13" s="7">
        <f>COUNT(BGroup)</f>
        <v>40</v>
      </c>
    </row>
    <row r="14" spans="1:5">
      <c r="A14" s="5">
        <v>39</v>
      </c>
      <c r="B14" s="5">
        <v>56</v>
      </c>
    </row>
    <row r="15" spans="1:5">
      <c r="A15" s="5">
        <v>77</v>
      </c>
      <c r="B15" s="5">
        <v>64</v>
      </c>
    </row>
    <row r="16" spans="1:5">
      <c r="A16" s="5">
        <v>49</v>
      </c>
      <c r="B16" s="5">
        <v>52</v>
      </c>
    </row>
    <row r="17" spans="1:6">
      <c r="A17" s="5">
        <v>44</v>
      </c>
      <c r="B17" s="5">
        <v>46</v>
      </c>
    </row>
    <row r="18" spans="1:6" ht="15">
      <c r="A18" s="5">
        <v>44</v>
      </c>
      <c r="B18" s="5">
        <v>59</v>
      </c>
      <c r="D18" s="11" t="s">
        <v>13</v>
      </c>
      <c r="E18" s="11" t="s">
        <v>12</v>
      </c>
    </row>
    <row r="19" spans="1:6" ht="15">
      <c r="A19" s="5">
        <v>41</v>
      </c>
      <c r="B19" s="5">
        <v>59</v>
      </c>
      <c r="D19" s="10" t="s">
        <v>46</v>
      </c>
      <c r="E19" s="7">
        <f>AVERAGE(gruppoA)</f>
        <v>46.6</v>
      </c>
    </row>
    <row r="20" spans="1:6" ht="15">
      <c r="A20" s="5">
        <v>38</v>
      </c>
      <c r="B20" s="5">
        <v>52</v>
      </c>
      <c r="D20" s="10" t="s">
        <v>47</v>
      </c>
      <c r="E20" s="7">
        <f>AVERAGE(gruppoB)</f>
        <v>52.7</v>
      </c>
    </row>
    <row r="21" spans="1:6" ht="15">
      <c r="A21" s="5">
        <v>43</v>
      </c>
      <c r="B21" s="5">
        <v>47</v>
      </c>
      <c r="D21" s="10" t="s">
        <v>49</v>
      </c>
      <c r="E21" s="9">
        <f>_xlfn.STDEV.S(gruppoA)</f>
        <v>10.529080608559259</v>
      </c>
    </row>
    <row r="22" spans="1:6" ht="15">
      <c r="A22" s="5">
        <v>51</v>
      </c>
      <c r="B22" s="5">
        <v>56</v>
      </c>
      <c r="D22" s="10" t="s">
        <v>50</v>
      </c>
      <c r="E22" s="9">
        <f>_xlfn.STDEV.S(gruppoB)</f>
        <v>9.089864741878225</v>
      </c>
    </row>
    <row r="23" spans="1:6" ht="15">
      <c r="A23" s="5">
        <v>45</v>
      </c>
      <c r="B23" s="5">
        <v>32</v>
      </c>
      <c r="D23" s="10" t="s">
        <v>54</v>
      </c>
      <c r="E23" s="8">
        <v>0.95</v>
      </c>
    </row>
    <row r="24" spans="1:6" ht="15">
      <c r="A24" s="5">
        <v>56</v>
      </c>
      <c r="B24" s="5">
        <v>60</v>
      </c>
      <c r="D24" s="10" t="s">
        <v>5</v>
      </c>
      <c r="E24" s="9">
        <f>1-E23</f>
        <v>5.0000000000000044E-2</v>
      </c>
    </row>
    <row r="25" spans="1:6" ht="15">
      <c r="A25" s="5">
        <v>45</v>
      </c>
      <c r="B25" s="5">
        <v>58</v>
      </c>
      <c r="D25" s="10" t="s">
        <v>6</v>
      </c>
      <c r="E25" s="18">
        <f>_xlfn.T.TEST(gruppoA,gruppoB,2,2)</f>
        <v>6.9343457041178376E-3</v>
      </c>
    </row>
    <row r="26" spans="1:6" ht="15">
      <c r="A26" s="5">
        <v>47</v>
      </c>
      <c r="B26" s="5">
        <v>39</v>
      </c>
      <c r="D26" s="10" t="s">
        <v>52</v>
      </c>
      <c r="E26" s="7" t="str">
        <f>IF(E25&lt;=E24,"H0 rifiutata p-value statisticamente significativo","H0 non rifiutata p-value non è statisticamente significativo")</f>
        <v>H0 rifiutata p-value statisticamente significativo</v>
      </c>
      <c r="F26" s="1" t="str">
        <f>IF(E25&lt;=E24,"rifiuto H0, il risultato è statisticamente significativo, la nuova e-mail produce una differenza negli acquisti","non rifiuto H0, il risultato non è statisticamente significativo")</f>
        <v>rifiuto H0, il risultato è statisticamente significativo, la nuova e-mail produce una differenza negli acquisti</v>
      </c>
    </row>
    <row r="27" spans="1:6">
      <c r="A27" s="5">
        <v>61</v>
      </c>
      <c r="B27" s="5">
        <v>55</v>
      </c>
    </row>
    <row r="28" spans="1:6">
      <c r="A28" s="5">
        <v>52</v>
      </c>
      <c r="B28" s="5">
        <v>45</v>
      </c>
    </row>
    <row r="29" spans="1:6">
      <c r="A29" s="5">
        <v>42</v>
      </c>
      <c r="B29" s="5">
        <v>61</v>
      </c>
    </row>
    <row r="30" spans="1:6">
      <c r="A30" s="5">
        <v>45</v>
      </c>
      <c r="B30" s="5">
        <v>36</v>
      </c>
    </row>
    <row r="31" spans="1:6">
      <c r="A31" s="5">
        <v>52</v>
      </c>
      <c r="B31" s="5">
        <v>46</v>
      </c>
    </row>
    <row r="32" spans="1:6">
      <c r="A32" s="5">
        <v>64</v>
      </c>
      <c r="B32" s="5">
        <v>60</v>
      </c>
    </row>
    <row r="33" spans="1:2">
      <c r="A33" s="5">
        <v>45</v>
      </c>
      <c r="B33" s="5">
        <v>64</v>
      </c>
    </row>
    <row r="34" spans="1:2">
      <c r="A34" s="5">
        <v>45</v>
      </c>
      <c r="B34" s="5">
        <v>35</v>
      </c>
    </row>
    <row r="35" spans="1:2">
      <c r="A35" s="5">
        <v>56</v>
      </c>
      <c r="B35" s="5">
        <v>50</v>
      </c>
    </row>
    <row r="36" spans="1:2">
      <c r="A36" s="5">
        <v>39</v>
      </c>
      <c r="B36" s="5">
        <v>57</v>
      </c>
    </row>
    <row r="37" spans="1:2">
      <c r="A37" s="5">
        <v>44</v>
      </c>
      <c r="B37" s="5">
        <v>49</v>
      </c>
    </row>
    <row r="38" spans="1:2">
      <c r="A38" s="5">
        <v>55</v>
      </c>
      <c r="B38" s="5">
        <v>68</v>
      </c>
    </row>
    <row r="39" spans="1:2">
      <c r="A39" s="5">
        <v>52</v>
      </c>
      <c r="B39" s="5">
        <v>43</v>
      </c>
    </row>
    <row r="40" spans="1:2">
      <c r="A40" s="5">
        <v>48</v>
      </c>
      <c r="B40" s="5">
        <v>57</v>
      </c>
    </row>
    <row r="41" spans="1:2">
      <c r="A41" s="5">
        <v>53</v>
      </c>
      <c r="B41" s="5">
        <v>45</v>
      </c>
    </row>
    <row r="42" spans="1:2">
      <c r="A42" s="5">
        <v>22</v>
      </c>
      <c r="B42" s="5">
        <v>67</v>
      </c>
    </row>
    <row r="43" spans="1:2">
      <c r="A43" s="5">
        <v>56</v>
      </c>
      <c r="B43" s="5">
        <v>54</v>
      </c>
    </row>
    <row r="44" spans="1:2">
      <c r="A44" s="5">
        <v>38</v>
      </c>
      <c r="B44" s="5">
        <v>51</v>
      </c>
    </row>
    <row r="45" spans="1:2">
      <c r="A45" s="5">
        <v>32</v>
      </c>
      <c r="B45" s="5">
        <v>39</v>
      </c>
    </row>
    <row r="50" spans="1:2" ht="15">
      <c r="A50" s="3" t="s">
        <v>38</v>
      </c>
      <c r="B50" s="19" t="s">
        <v>39</v>
      </c>
    </row>
    <row r="51" spans="1:2">
      <c r="A51" s="14" t="s">
        <v>10</v>
      </c>
      <c r="B51" s="6"/>
    </row>
    <row r="52" spans="1:2">
      <c r="A52" t="s">
        <v>9</v>
      </c>
      <c r="B52" s="6"/>
    </row>
  </sheetData>
  <mergeCells count="1">
    <mergeCell ref="D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164A-567A-499F-BBBA-DEC3DEE0EC33}">
  <dimension ref="A1:E45"/>
  <sheetViews>
    <sheetView workbookViewId="0">
      <selection activeCell="D20" sqref="D20"/>
    </sheetView>
  </sheetViews>
  <sheetFormatPr defaultColWidth="23.75" defaultRowHeight="14.25"/>
  <cols>
    <col min="4" max="4" width="38.125" customWidth="1"/>
    <col min="5" max="5" width="46.25" customWidth="1"/>
  </cols>
  <sheetData>
    <row r="1" spans="1:5" ht="17.25">
      <c r="A1" s="2" t="s">
        <v>4</v>
      </c>
      <c r="C1" s="13" t="s">
        <v>32</v>
      </c>
      <c r="D1" t="s">
        <v>33</v>
      </c>
    </row>
    <row r="2" spans="1:5" ht="17.25">
      <c r="A2" s="2"/>
      <c r="C2" s="13" t="s">
        <v>34</v>
      </c>
      <c r="D2" t="s">
        <v>35</v>
      </c>
    </row>
    <row r="3" spans="1:5" ht="17.25">
      <c r="C3" s="13" t="s">
        <v>36</v>
      </c>
      <c r="D3" t="s">
        <v>37</v>
      </c>
    </row>
    <row r="5" spans="1:5" ht="17.25">
      <c r="A5" s="4" t="s">
        <v>0</v>
      </c>
      <c r="B5" s="4" t="s">
        <v>1</v>
      </c>
      <c r="D5" s="20" t="s">
        <v>16</v>
      </c>
      <c r="E5" s="20"/>
    </row>
    <row r="6" spans="1:5" ht="15">
      <c r="A6" s="5">
        <v>53</v>
      </c>
      <c r="B6" s="5">
        <v>40</v>
      </c>
      <c r="D6" s="10" t="s">
        <v>43</v>
      </c>
      <c r="E6" s="7" t="s">
        <v>44</v>
      </c>
    </row>
    <row r="7" spans="1:5" ht="15">
      <c r="A7" s="5">
        <v>57</v>
      </c>
      <c r="B7" s="5">
        <v>45</v>
      </c>
      <c r="D7" s="10" t="s">
        <v>22</v>
      </c>
      <c r="E7" s="7" t="s">
        <v>45</v>
      </c>
    </row>
    <row r="8" spans="1:5" ht="17.25">
      <c r="A8" s="5">
        <v>53</v>
      </c>
      <c r="B8" s="5">
        <v>50</v>
      </c>
      <c r="D8" s="15" t="s">
        <v>2</v>
      </c>
      <c r="E8" s="7" t="s">
        <v>40</v>
      </c>
    </row>
    <row r="9" spans="1:5" ht="17.25">
      <c r="A9" s="5">
        <v>38</v>
      </c>
      <c r="B9" s="5">
        <v>42</v>
      </c>
      <c r="D9" s="15" t="s">
        <v>3</v>
      </c>
      <c r="E9" s="7" t="s">
        <v>41</v>
      </c>
    </row>
    <row r="10" spans="1:5" ht="15">
      <c r="A10" s="5">
        <v>58</v>
      </c>
      <c r="B10" s="5">
        <v>50</v>
      </c>
      <c r="D10" s="10" t="s">
        <v>48</v>
      </c>
      <c r="E10" s="7">
        <v>2</v>
      </c>
    </row>
    <row r="11" spans="1:5" ht="15">
      <c r="A11" s="5">
        <v>54</v>
      </c>
      <c r="B11" s="5">
        <v>52</v>
      </c>
      <c r="D11" s="10" t="s">
        <v>7</v>
      </c>
      <c r="E11" s="7">
        <f>COUNT(AGroup)</f>
        <v>40</v>
      </c>
    </row>
    <row r="12" spans="1:5" ht="15">
      <c r="A12" s="5">
        <v>45</v>
      </c>
      <c r="B12" s="5">
        <v>51</v>
      </c>
      <c r="D12" s="10" t="s">
        <v>8</v>
      </c>
      <c r="E12" s="7">
        <f>COUNT(BGroup)</f>
        <v>40</v>
      </c>
    </row>
    <row r="13" spans="1:5">
      <c r="A13" s="5">
        <v>55</v>
      </c>
      <c r="B13" s="5">
        <v>46</v>
      </c>
    </row>
    <row r="14" spans="1:5">
      <c r="A14" s="5">
        <v>53</v>
      </c>
      <c r="B14" s="5">
        <v>56</v>
      </c>
    </row>
    <row r="15" spans="1:5" ht="15">
      <c r="A15" s="5">
        <v>53</v>
      </c>
      <c r="B15" s="5">
        <v>59</v>
      </c>
      <c r="D15" s="21" t="s">
        <v>42</v>
      </c>
      <c r="E15" s="21"/>
    </row>
    <row r="16" spans="1:5" ht="15">
      <c r="A16" s="5">
        <v>50</v>
      </c>
      <c r="B16" s="5">
        <v>54</v>
      </c>
      <c r="D16" s="10" t="s">
        <v>46</v>
      </c>
      <c r="E16" s="7">
        <f>AVERAGE(AGroup)</f>
        <v>50</v>
      </c>
    </row>
    <row r="17" spans="1:5" ht="15">
      <c r="A17" s="5">
        <v>55</v>
      </c>
      <c r="B17" s="5">
        <v>44</v>
      </c>
      <c r="D17" s="10" t="s">
        <v>47</v>
      </c>
      <c r="E17" s="9">
        <f>AVERAGE(BGroup)</f>
        <v>49.625</v>
      </c>
    </row>
    <row r="18" spans="1:5" ht="15">
      <c r="A18" s="5">
        <v>43</v>
      </c>
      <c r="B18" s="5">
        <v>58</v>
      </c>
      <c r="D18" s="10" t="s">
        <v>49</v>
      </c>
      <c r="E18" s="9">
        <f>_xlfn.STDEV.P(AGroup)</f>
        <v>8.3366660002665327</v>
      </c>
    </row>
    <row r="19" spans="1:5" ht="15">
      <c r="A19" s="5">
        <v>49</v>
      </c>
      <c r="B19" s="5">
        <v>46</v>
      </c>
      <c r="D19" s="10" t="s">
        <v>50</v>
      </c>
      <c r="E19" s="9">
        <f>_xlfn.STDEV.P(BGroup)</f>
        <v>6.6094156322628104</v>
      </c>
    </row>
    <row r="20" spans="1:5" ht="15">
      <c r="A20" s="5">
        <v>46</v>
      </c>
      <c r="B20" s="5">
        <v>59</v>
      </c>
      <c r="D20" s="10" t="s">
        <v>54</v>
      </c>
      <c r="E20" s="8">
        <v>0.95</v>
      </c>
    </row>
    <row r="21" spans="1:5" ht="15">
      <c r="A21" s="5">
        <v>55</v>
      </c>
      <c r="B21" s="5">
        <v>41</v>
      </c>
      <c r="C21" s="16"/>
      <c r="D21" s="10" t="s">
        <v>51</v>
      </c>
      <c r="E21" s="9">
        <f>1-E20</f>
        <v>5.0000000000000044E-2</v>
      </c>
    </row>
    <row r="22" spans="1:5" ht="15">
      <c r="A22" s="5">
        <v>50</v>
      </c>
      <c r="B22" s="5">
        <v>59</v>
      </c>
      <c r="D22" s="10" t="s">
        <v>6</v>
      </c>
      <c r="E22" s="9">
        <f>_xlfn.T.TEST(AGroup,BGroup,2,2)</f>
        <v>0.82634853541353359</v>
      </c>
    </row>
    <row r="23" spans="1:5" ht="15">
      <c r="A23" s="5">
        <v>47</v>
      </c>
      <c r="B23" s="5">
        <v>51</v>
      </c>
      <c r="D23" s="10" t="s">
        <v>52</v>
      </c>
      <c r="E23" s="17" t="str">
        <f>IF(E22&lt;=E21,"rifiuto H0 p-value statisticamente significativo","non rifiuto H0; p-value non è statisticamente significativo")</f>
        <v>non rifiuto H0; p-value non è statisticamente significativo</v>
      </c>
    </row>
    <row r="24" spans="1:5">
      <c r="A24" s="5">
        <v>43</v>
      </c>
      <c r="B24" s="5">
        <v>40</v>
      </c>
    </row>
    <row r="25" spans="1:5">
      <c r="A25" s="5">
        <v>48</v>
      </c>
      <c r="B25" s="5">
        <v>48</v>
      </c>
    </row>
    <row r="26" spans="1:5">
      <c r="A26" s="5">
        <v>50</v>
      </c>
      <c r="B26" s="5">
        <v>51</v>
      </c>
    </row>
    <row r="27" spans="1:5">
      <c r="A27" s="5">
        <v>48</v>
      </c>
      <c r="B27" s="5">
        <v>53</v>
      </c>
    </row>
    <row r="28" spans="1:5">
      <c r="A28" s="5">
        <v>62</v>
      </c>
      <c r="B28" s="5">
        <v>42</v>
      </c>
    </row>
    <row r="29" spans="1:5">
      <c r="A29" s="5">
        <v>59</v>
      </c>
      <c r="B29" s="5">
        <v>41</v>
      </c>
    </row>
    <row r="30" spans="1:5">
      <c r="A30" s="5">
        <v>26</v>
      </c>
      <c r="B30" s="5">
        <v>53</v>
      </c>
    </row>
    <row r="31" spans="1:5">
      <c r="A31" s="5">
        <v>33</v>
      </c>
      <c r="B31" s="5">
        <v>47</v>
      </c>
    </row>
    <row r="32" spans="1:5">
      <c r="A32" s="5">
        <v>48</v>
      </c>
      <c r="B32" s="5">
        <v>53</v>
      </c>
    </row>
    <row r="33" spans="1:2">
      <c r="A33" s="5">
        <v>46</v>
      </c>
      <c r="B33" s="5">
        <v>58</v>
      </c>
    </row>
    <row r="34" spans="1:2">
      <c r="A34" s="5">
        <v>52</v>
      </c>
      <c r="B34" s="5">
        <v>36</v>
      </c>
    </row>
    <row r="35" spans="1:2">
      <c r="A35" s="5">
        <v>52</v>
      </c>
      <c r="B35" s="5">
        <v>53</v>
      </c>
    </row>
    <row r="36" spans="1:2">
      <c r="A36" s="5">
        <v>69</v>
      </c>
      <c r="B36" s="5">
        <v>62</v>
      </c>
    </row>
    <row r="37" spans="1:2">
      <c r="A37" s="5">
        <v>40</v>
      </c>
      <c r="B37" s="5">
        <v>48</v>
      </c>
    </row>
    <row r="38" spans="1:2">
      <c r="A38" s="5">
        <v>47</v>
      </c>
      <c r="B38" s="5">
        <v>44</v>
      </c>
    </row>
    <row r="39" spans="1:2">
      <c r="A39" s="5">
        <v>68</v>
      </c>
      <c r="B39" s="5">
        <v>58</v>
      </c>
    </row>
    <row r="40" spans="1:2">
      <c r="A40" s="5">
        <v>56</v>
      </c>
      <c r="B40" s="5">
        <v>53</v>
      </c>
    </row>
    <row r="41" spans="1:2">
      <c r="A41" s="5">
        <v>56</v>
      </c>
      <c r="B41" s="5">
        <v>59</v>
      </c>
    </row>
    <row r="42" spans="1:2">
      <c r="A42" s="5">
        <v>45</v>
      </c>
      <c r="B42" s="5">
        <v>48</v>
      </c>
    </row>
    <row r="43" spans="1:2">
      <c r="A43" s="5">
        <v>35</v>
      </c>
      <c r="B43" s="5">
        <v>38</v>
      </c>
    </row>
    <row r="44" spans="1:2">
      <c r="A44" s="5">
        <v>52</v>
      </c>
      <c r="B44" s="5">
        <v>50</v>
      </c>
    </row>
    <row r="45" spans="1:2">
      <c r="A45" s="5">
        <v>51</v>
      </c>
      <c r="B45" s="5">
        <v>47</v>
      </c>
    </row>
  </sheetData>
  <mergeCells count="2">
    <mergeCell ref="D5:E5"/>
    <mergeCell ref="D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265F-FA25-433F-8FA1-520AB482ADFF}">
  <dimension ref="A1:D17"/>
  <sheetViews>
    <sheetView workbookViewId="0">
      <selection activeCell="B26" sqref="B26"/>
    </sheetView>
  </sheetViews>
  <sheetFormatPr defaultColWidth="34.375" defaultRowHeight="14.25"/>
  <sheetData>
    <row r="1" spans="1:4" ht="15">
      <c r="A1" s="3" t="s">
        <v>11</v>
      </c>
      <c r="C1" s="6"/>
      <c r="D1" s="6"/>
    </row>
    <row r="2" spans="1:4" ht="15">
      <c r="A2" s="2" t="s">
        <v>53</v>
      </c>
      <c r="C2" s="6"/>
      <c r="D2" s="6"/>
    </row>
    <row r="3" spans="1:4">
      <c r="C3" s="12"/>
      <c r="D3" s="6"/>
    </row>
    <row r="4" spans="1:4" ht="15">
      <c r="A4" s="22" t="s">
        <v>31</v>
      </c>
      <c r="B4" s="23"/>
      <c r="C4" s="24" t="s">
        <v>18</v>
      </c>
      <c r="D4" s="6"/>
    </row>
    <row r="5" spans="1:4" ht="15">
      <c r="A5" s="21" t="s">
        <v>16</v>
      </c>
      <c r="B5" s="21"/>
      <c r="C5" s="24"/>
      <c r="D5" s="6"/>
    </row>
    <row r="6" spans="1:4" ht="15">
      <c r="A6" s="10" t="s">
        <v>20</v>
      </c>
      <c r="B6" s="7" t="s">
        <v>21</v>
      </c>
      <c r="C6" s="12"/>
      <c r="D6" s="6"/>
    </row>
    <row r="7" spans="1:4" ht="15">
      <c r="A7" s="10" t="s">
        <v>22</v>
      </c>
      <c r="B7" s="7" t="s">
        <v>23</v>
      </c>
      <c r="C7" s="6"/>
      <c r="D7" s="6"/>
    </row>
    <row r="8" spans="1:4" ht="15">
      <c r="A8" s="10" t="s">
        <v>2</v>
      </c>
      <c r="B8" s="7" t="s">
        <v>14</v>
      </c>
      <c r="C8" s="12"/>
      <c r="D8" s="6"/>
    </row>
    <row r="9" spans="1:4" ht="15">
      <c r="A9" s="10" t="s">
        <v>3</v>
      </c>
      <c r="B9" s="7" t="s">
        <v>15</v>
      </c>
      <c r="C9" s="12"/>
      <c r="D9" s="6"/>
    </row>
    <row r="10" spans="1:4" ht="15">
      <c r="A10" s="10" t="s">
        <v>26</v>
      </c>
      <c r="B10" s="7">
        <v>1</v>
      </c>
      <c r="C10" s="12"/>
      <c r="D10" s="6"/>
    </row>
    <row r="11" spans="1:4" ht="15">
      <c r="A11" s="10" t="s">
        <v>27</v>
      </c>
      <c r="B11" s="8">
        <v>0.95</v>
      </c>
      <c r="C11" s="12"/>
      <c r="D11" s="6"/>
    </row>
    <row r="12" spans="1:4" ht="15">
      <c r="A12" s="10" t="s">
        <v>5</v>
      </c>
      <c r="B12" s="9">
        <f>1-B11</f>
        <v>5.0000000000000044E-2</v>
      </c>
      <c r="C12" s="12"/>
      <c r="D12" s="6"/>
    </row>
    <row r="13" spans="1:4" ht="15">
      <c r="A13" s="10" t="s">
        <v>17</v>
      </c>
      <c r="B13" s="7" t="s">
        <v>19</v>
      </c>
      <c r="C13" s="6"/>
      <c r="D13" s="6"/>
    </row>
    <row r="14" spans="1:4" ht="15">
      <c r="A14" s="10" t="s">
        <v>24</v>
      </c>
      <c r="B14" s="5">
        <v>500</v>
      </c>
      <c r="C14" s="12"/>
      <c r="D14" s="6"/>
    </row>
    <row r="15" spans="1:4" ht="15">
      <c r="A15" s="10" t="s">
        <v>25</v>
      </c>
      <c r="B15" s="5">
        <v>500</v>
      </c>
      <c r="C15" s="6"/>
      <c r="D15" s="6"/>
    </row>
    <row r="16" spans="1:4" ht="15">
      <c r="A16" s="10" t="s">
        <v>28</v>
      </c>
      <c r="B16" s="5">
        <f>SUM(B14:B15)</f>
        <v>1000</v>
      </c>
      <c r="C16" s="6"/>
      <c r="D16" s="6"/>
    </row>
    <row r="17" spans="1:4" ht="15">
      <c r="A17" s="10" t="s">
        <v>29</v>
      </c>
      <c r="B17" s="7" t="s">
        <v>30</v>
      </c>
      <c r="C17" s="6"/>
      <c r="D17" s="6"/>
    </row>
  </sheetData>
  <mergeCells count="3">
    <mergeCell ref="A5:B5"/>
    <mergeCell ref="A4:B4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Esercizo_p_value_sig</vt:lpstr>
      <vt:lpstr>Esercizio_p_value_non_sig</vt:lpstr>
      <vt:lpstr>Esercizio_test_AB</vt:lpstr>
      <vt:lpstr>AGroup</vt:lpstr>
      <vt:lpstr>BGroup</vt:lpstr>
      <vt:lpstr>groupA</vt:lpstr>
      <vt:lpstr>gruppoA</vt:lpstr>
      <vt:lpstr>gruppoB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SZN</dc:creator>
  <cp:lastModifiedBy>Iole Di Capua</cp:lastModifiedBy>
  <dcterms:created xsi:type="dcterms:W3CDTF">2026-07-10T18:39:24Z</dcterms:created>
  <dcterms:modified xsi:type="dcterms:W3CDTF">2026-07-12T16:50:22Z</dcterms:modified>
</cp:coreProperties>
</file>