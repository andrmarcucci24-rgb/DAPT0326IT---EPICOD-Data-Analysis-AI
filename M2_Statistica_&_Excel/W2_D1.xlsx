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N\Desktop\EPICODE CORSO\esercizi\"/>
    </mc:Choice>
  </mc:AlternateContent>
  <xr:revisionPtr revIDLastSave="0" documentId="13_ncr:1_{8E43BBF4-5346-4E87-900B-A0004EFEDCAD}" xr6:coauthVersionLast="47" xr6:coauthVersionMax="47" xr10:uidLastSave="{00000000-0000-0000-0000-000000000000}"/>
  <bookViews>
    <workbookView xWindow="-120" yWindow="-120" windowWidth="29040" windowHeight="15720" xr2:uid="{B0536D41-C147-4827-AD61-53A4FD8EB59B}"/>
  </bookViews>
  <sheets>
    <sheet name="Esercizi" sheetId="2" r:id="rId1"/>
  </sheets>
  <definedNames>
    <definedName name="camp">Esercizi!$A$2:$A$82</definedName>
    <definedName name="campione">Esercizi!$A:$A</definedName>
    <definedName name="sample">Esercizi!$A$1:$A$82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1" i="2" l="1"/>
  <c r="E42" i="2"/>
  <c r="E33" i="2"/>
  <c r="C33" i="2"/>
  <c r="C32" i="2"/>
  <c r="E22" i="2"/>
  <c r="E13" i="2"/>
  <c r="E4" i="2"/>
  <c r="C4" i="2"/>
  <c r="C5" i="2"/>
  <c r="C3" i="2"/>
  <c r="E52" i="2" l="1"/>
  <c r="E34" i="2"/>
  <c r="E43" i="2"/>
  <c r="E23" i="2"/>
  <c r="E14" i="2"/>
  <c r="E5" i="2"/>
  <c r="E54" i="2" l="1"/>
  <c r="E55" i="2"/>
  <c r="E46" i="2"/>
  <c r="E45" i="2"/>
  <c r="E37" i="2"/>
  <c r="E36" i="2"/>
  <c r="E25" i="2"/>
  <c r="E26" i="2"/>
  <c r="E17" i="2"/>
  <c r="E16" i="2"/>
  <c r="E8" i="2"/>
  <c r="E7" i="2"/>
</calcChain>
</file>

<file path=xl/sharedStrings.xml><?xml version="1.0" encoding="utf-8"?>
<sst xmlns="http://schemas.openxmlformats.org/spreadsheetml/2006/main" count="63" uniqueCount="24">
  <si>
    <t>data</t>
  </si>
  <si>
    <t>int_conf</t>
  </si>
  <si>
    <t>alpha</t>
  </si>
  <si>
    <t>N</t>
  </si>
  <si>
    <t>lim_sup</t>
  </si>
  <si>
    <t>lim_inf</t>
  </si>
  <si>
    <t xml:space="preserve">campione </t>
  </si>
  <si>
    <t>mean</t>
  </si>
  <si>
    <t>st_dev</t>
  </si>
  <si>
    <t>inferenza</t>
  </si>
  <si>
    <t>err_st</t>
  </si>
  <si>
    <t>livello_conf</t>
  </si>
  <si>
    <t>52±1.81</t>
  </si>
  <si>
    <t>52±1.52</t>
  </si>
  <si>
    <t>52±2.38</t>
  </si>
  <si>
    <t>accettiamo un erroe del 10% considerando il livello di confidenza richiesto del 90%, stimiamo un erroe standard di circa 1.52 ottendo un intervallo di confidenza di 52±1.52.</t>
  </si>
  <si>
    <t>accettiamo un errore del 5% considerando il livello di confidenza del 95%, stimiamo un erroe standard di circa 1.81 ottendo un intervallo di confidenza di 52±1.81.</t>
  </si>
  <si>
    <t>accettiamo un erroe del 1% considerando il livello di confidenza richiesto del 99%, stimiamo un erroe standard di circa 2.38 ottendo un intervallo di confidenza di 52±2.38.</t>
  </si>
  <si>
    <t>52±0.9</t>
  </si>
  <si>
    <t>52±0.76</t>
  </si>
  <si>
    <t>52±1.19</t>
  </si>
  <si>
    <t>Esercizio 2.</t>
  </si>
  <si>
    <t>Esercizio 1.</t>
  </si>
  <si>
    <t>notiamo come all'aumentare il numero di di dati nel campione diminuisce l'errore standard.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</si>
</sst>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 applyFill="1"/>
    <xf numFmtId="0" fontId="1" fillId="4" borderId="5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F1DD-FA82-4112-A898-B17D5C467325}">
  <dimension ref="A1:F82"/>
  <sheetViews>
    <sheetView tabSelected="1" topLeftCell="A28" workbookViewId="0">
      <selection activeCell="F31" sqref="F31"/>
    </sheetView>
  </sheetViews>
  <sheetFormatPr defaultRowHeight="15" x14ac:dyDescent="0.25"/>
  <cols>
    <col min="1" max="1" width="10.42578125" style="1" customWidth="1"/>
    <col min="4" max="4" width="13.42578125" style="1" customWidth="1"/>
    <col min="5" max="5" width="16.7109375" style="1" bestFit="1" customWidth="1"/>
    <col min="6" max="6" width="152.140625" customWidth="1"/>
  </cols>
  <sheetData>
    <row r="1" spans="1:6" x14ac:dyDescent="0.25">
      <c r="A1" s="2" t="s">
        <v>6</v>
      </c>
      <c r="B1" s="14" t="s">
        <v>22</v>
      </c>
      <c r="C1" s="16"/>
    </row>
    <row r="2" spans="1:6" x14ac:dyDescent="0.25">
      <c r="A2" s="3">
        <v>55</v>
      </c>
      <c r="B2" s="4" t="s">
        <v>0</v>
      </c>
      <c r="C2" s="4"/>
      <c r="D2" s="6" t="s">
        <v>9</v>
      </c>
      <c r="E2" s="7"/>
    </row>
    <row r="3" spans="1:6" x14ac:dyDescent="0.25">
      <c r="A3" s="3">
        <v>49</v>
      </c>
      <c r="B3" s="5" t="s">
        <v>7</v>
      </c>
      <c r="C3" s="9">
        <f>AVERAGE(camp)</f>
        <v>51.851851851851855</v>
      </c>
      <c r="D3" s="5" t="s">
        <v>11</v>
      </c>
      <c r="E3" s="11">
        <v>0.95</v>
      </c>
    </row>
    <row r="4" spans="1:6" x14ac:dyDescent="0.25">
      <c r="A4" s="3">
        <v>62</v>
      </c>
      <c r="B4" s="5" t="s">
        <v>8</v>
      </c>
      <c r="C4" s="9">
        <f>_xlfn.STDEV.P(camp)</f>
        <v>8.3030726294043244</v>
      </c>
      <c r="D4" s="5" t="s">
        <v>2</v>
      </c>
      <c r="E4" s="12">
        <f>1-E3</f>
        <v>5.0000000000000044E-2</v>
      </c>
    </row>
    <row r="5" spans="1:6" x14ac:dyDescent="0.25">
      <c r="A5" s="3">
        <v>42</v>
      </c>
      <c r="B5" s="5" t="s">
        <v>3</v>
      </c>
      <c r="C5" s="10">
        <f>COUNT(camp)</f>
        <v>81</v>
      </c>
      <c r="D5" s="5" t="s">
        <v>10</v>
      </c>
      <c r="E5" s="12">
        <f>_xlfn.CONFIDENCE.NORM(E4,C$4,C$5)</f>
        <v>1.8081914794058622</v>
      </c>
    </row>
    <row r="6" spans="1:6" x14ac:dyDescent="0.25">
      <c r="A6" s="3">
        <v>53</v>
      </c>
      <c r="D6" s="5" t="s">
        <v>1</v>
      </c>
      <c r="E6" s="3" t="s">
        <v>12</v>
      </c>
    </row>
    <row r="7" spans="1:6" x14ac:dyDescent="0.25">
      <c r="A7" s="3">
        <v>61</v>
      </c>
      <c r="D7" s="5" t="s">
        <v>4</v>
      </c>
      <c r="E7" s="12">
        <f>C$3+E5</f>
        <v>53.660043331257718</v>
      </c>
    </row>
    <row r="8" spans="1:6" x14ac:dyDescent="0.25">
      <c r="A8" s="3">
        <v>37</v>
      </c>
      <c r="D8" s="5" t="s">
        <v>5</v>
      </c>
      <c r="E8" s="12">
        <f>C$3-E5</f>
        <v>50.043660372445991</v>
      </c>
      <c r="F8" s="8" t="s">
        <v>16</v>
      </c>
    </row>
    <row r="9" spans="1:6" x14ac:dyDescent="0.25">
      <c r="A9" s="3">
        <v>57</v>
      </c>
    </row>
    <row r="10" spans="1:6" x14ac:dyDescent="0.25">
      <c r="A10" s="3">
        <v>38</v>
      </c>
    </row>
    <row r="11" spans="1:6" x14ac:dyDescent="0.25">
      <c r="A11" s="3">
        <v>42</v>
      </c>
      <c r="D11" s="2" t="s">
        <v>9</v>
      </c>
      <c r="E11" s="2"/>
    </row>
    <row r="12" spans="1:6" x14ac:dyDescent="0.25">
      <c r="A12" s="3">
        <v>62</v>
      </c>
      <c r="D12" s="5" t="s">
        <v>11</v>
      </c>
      <c r="E12" s="11">
        <v>0.9</v>
      </c>
    </row>
    <row r="13" spans="1:6" x14ac:dyDescent="0.25">
      <c r="A13" s="3">
        <v>54</v>
      </c>
      <c r="D13" s="5" t="s">
        <v>2</v>
      </c>
      <c r="E13" s="12">
        <f>1-E12</f>
        <v>9.9999999999999978E-2</v>
      </c>
    </row>
    <row r="14" spans="1:6" x14ac:dyDescent="0.25">
      <c r="A14" s="3">
        <v>63</v>
      </c>
      <c r="D14" s="5" t="s">
        <v>10</v>
      </c>
      <c r="E14" s="12">
        <f>_xlfn.CONFIDENCE.NORM(E13,C$4,C$5)</f>
        <v>1.5174821254796884</v>
      </c>
    </row>
    <row r="15" spans="1:6" x14ac:dyDescent="0.25">
      <c r="A15" s="3">
        <v>43</v>
      </c>
      <c r="D15" s="5" t="s">
        <v>1</v>
      </c>
      <c r="E15" s="3" t="s">
        <v>13</v>
      </c>
    </row>
    <row r="16" spans="1:6" x14ac:dyDescent="0.25">
      <c r="A16" s="3">
        <v>59</v>
      </c>
      <c r="D16" s="5" t="s">
        <v>4</v>
      </c>
      <c r="E16" s="12">
        <f>C$3+E14</f>
        <v>53.369333977331543</v>
      </c>
    </row>
    <row r="17" spans="1:6" x14ac:dyDescent="0.25">
      <c r="A17" s="3">
        <v>51</v>
      </c>
      <c r="D17" s="5" t="s">
        <v>5</v>
      </c>
      <c r="E17" s="12">
        <f>C$3-E14</f>
        <v>50.334369726372167</v>
      </c>
      <c r="F17" s="13" t="s">
        <v>15</v>
      </c>
    </row>
    <row r="18" spans="1:6" x14ac:dyDescent="0.25">
      <c r="A18" s="3">
        <v>61</v>
      </c>
    </row>
    <row r="19" spans="1:6" x14ac:dyDescent="0.25">
      <c r="A19" s="3">
        <v>43</v>
      </c>
    </row>
    <row r="20" spans="1:6" x14ac:dyDescent="0.25">
      <c r="A20" s="3">
        <v>55</v>
      </c>
      <c r="D20" s="2" t="s">
        <v>9</v>
      </c>
      <c r="E20" s="2"/>
    </row>
    <row r="21" spans="1:6" x14ac:dyDescent="0.25">
      <c r="A21" s="3">
        <v>58</v>
      </c>
      <c r="D21" s="5" t="s">
        <v>11</v>
      </c>
      <c r="E21" s="11">
        <v>0.99</v>
      </c>
    </row>
    <row r="22" spans="1:6" x14ac:dyDescent="0.25">
      <c r="A22" s="3">
        <v>66</v>
      </c>
      <c r="D22" s="5" t="s">
        <v>2</v>
      </c>
      <c r="E22" s="12">
        <f>1-E21</f>
        <v>1.0000000000000009E-2</v>
      </c>
    </row>
    <row r="23" spans="1:6" x14ac:dyDescent="0.25">
      <c r="A23" s="3">
        <v>39</v>
      </c>
      <c r="D23" s="5" t="s">
        <v>10</v>
      </c>
      <c r="E23" s="12">
        <f>_xlfn.CONFIDENCE.NORM(E22,C$4,C$5)</f>
        <v>2.3763664209238304</v>
      </c>
    </row>
    <row r="24" spans="1:6" x14ac:dyDescent="0.25">
      <c r="A24" s="3">
        <v>45</v>
      </c>
      <c r="D24" s="5" t="s">
        <v>1</v>
      </c>
      <c r="E24" s="3" t="s">
        <v>14</v>
      </c>
    </row>
    <row r="25" spans="1:6" x14ac:dyDescent="0.25">
      <c r="A25" s="3">
        <v>54</v>
      </c>
      <c r="D25" s="5" t="s">
        <v>4</v>
      </c>
      <c r="E25" s="12">
        <f>C$3+E23</f>
        <v>54.228218272775685</v>
      </c>
    </row>
    <row r="26" spans="1:6" x14ac:dyDescent="0.25">
      <c r="A26" s="3">
        <v>64</v>
      </c>
      <c r="D26" s="5" t="s">
        <v>5</v>
      </c>
      <c r="E26" s="12">
        <f>C$3-E23</f>
        <v>49.475485430928025</v>
      </c>
      <c r="F26" s="8" t="s">
        <v>17</v>
      </c>
    </row>
    <row r="27" spans="1:6" x14ac:dyDescent="0.25">
      <c r="A27" s="3">
        <v>50</v>
      </c>
    </row>
    <row r="28" spans="1:6" x14ac:dyDescent="0.25">
      <c r="A28" s="3">
        <v>62</v>
      </c>
    </row>
    <row r="29" spans="1:6" x14ac:dyDescent="0.25">
      <c r="A29" s="3">
        <v>40</v>
      </c>
    </row>
    <row r="30" spans="1:6" x14ac:dyDescent="0.25">
      <c r="A30" s="3">
        <v>52</v>
      </c>
      <c r="B30" s="14" t="s">
        <v>21</v>
      </c>
      <c r="C30" s="15"/>
    </row>
    <row r="31" spans="1:6" x14ac:dyDescent="0.25">
      <c r="A31" s="3">
        <v>43</v>
      </c>
      <c r="B31" s="4" t="s">
        <v>0</v>
      </c>
      <c r="C31" s="4"/>
      <c r="D31" s="4" t="s">
        <v>9</v>
      </c>
      <c r="E31" s="4"/>
      <c r="F31" s="8" t="s">
        <v>23</v>
      </c>
    </row>
    <row r="32" spans="1:6" x14ac:dyDescent="0.25">
      <c r="A32" s="3">
        <v>55</v>
      </c>
      <c r="B32" s="5" t="s">
        <v>7</v>
      </c>
      <c r="C32" s="9">
        <f>AVERAGE(camp)</f>
        <v>51.851851851851855</v>
      </c>
      <c r="D32" s="5" t="s">
        <v>11</v>
      </c>
      <c r="E32" s="11">
        <v>0.95</v>
      </c>
    </row>
    <row r="33" spans="1:5" x14ac:dyDescent="0.25">
      <c r="A33" s="3">
        <v>50</v>
      </c>
      <c r="B33" s="5" t="s">
        <v>8</v>
      </c>
      <c r="C33" s="9">
        <f>_xlfn.STDEV.P(camp)</f>
        <v>8.3030726294043244</v>
      </c>
      <c r="D33" s="5" t="s">
        <v>2</v>
      </c>
      <c r="E33" s="12">
        <f>1-E32</f>
        <v>5.0000000000000044E-2</v>
      </c>
    </row>
    <row r="34" spans="1:5" x14ac:dyDescent="0.25">
      <c r="A34" s="3">
        <v>57</v>
      </c>
      <c r="B34" s="5" t="s">
        <v>3</v>
      </c>
      <c r="C34" s="10">
        <v>324</v>
      </c>
      <c r="D34" s="5" t="s">
        <v>10</v>
      </c>
      <c r="E34" s="12">
        <f>_xlfn.CONFIDENCE.NORM(E33,C$33,C$34)</f>
        <v>0.90409573970293111</v>
      </c>
    </row>
    <row r="35" spans="1:5" x14ac:dyDescent="0.25">
      <c r="A35" s="3">
        <v>47</v>
      </c>
      <c r="D35" s="5" t="s">
        <v>1</v>
      </c>
      <c r="E35" s="3" t="s">
        <v>18</v>
      </c>
    </row>
    <row r="36" spans="1:5" x14ac:dyDescent="0.25">
      <c r="A36" s="3">
        <v>50</v>
      </c>
      <c r="D36" s="5" t="s">
        <v>4</v>
      </c>
      <c r="E36" s="12">
        <f>C$32+E34</f>
        <v>52.755947591554786</v>
      </c>
    </row>
    <row r="37" spans="1:5" x14ac:dyDescent="0.25">
      <c r="A37" s="3">
        <v>49</v>
      </c>
      <c r="D37" s="5" t="s">
        <v>5</v>
      </c>
      <c r="E37" s="12">
        <f>C$32-E34</f>
        <v>50.947756112148923</v>
      </c>
    </row>
    <row r="38" spans="1:5" x14ac:dyDescent="0.25">
      <c r="A38" s="3">
        <v>55</v>
      </c>
    </row>
    <row r="39" spans="1:5" x14ac:dyDescent="0.25">
      <c r="A39" s="3">
        <v>48</v>
      </c>
    </row>
    <row r="40" spans="1:5" x14ac:dyDescent="0.25">
      <c r="A40" s="3">
        <v>49</v>
      </c>
      <c r="D40" s="2" t="s">
        <v>9</v>
      </c>
      <c r="E40" s="2"/>
    </row>
    <row r="41" spans="1:5" x14ac:dyDescent="0.25">
      <c r="A41" s="3">
        <v>61</v>
      </c>
      <c r="D41" s="5" t="s">
        <v>11</v>
      </c>
      <c r="E41" s="11">
        <v>0.9</v>
      </c>
    </row>
    <row r="42" spans="1:5" x14ac:dyDescent="0.25">
      <c r="A42" s="3">
        <v>52</v>
      </c>
      <c r="D42" s="5" t="s">
        <v>2</v>
      </c>
      <c r="E42" s="12">
        <f>1-E41</f>
        <v>9.9999999999999978E-2</v>
      </c>
    </row>
    <row r="43" spans="1:5" x14ac:dyDescent="0.25">
      <c r="A43" s="3">
        <v>45</v>
      </c>
      <c r="D43" s="5" t="s">
        <v>10</v>
      </c>
      <c r="E43" s="12">
        <f>_xlfn.CONFIDENCE.NORM(E42,C$33,C$34)</f>
        <v>0.75874106273984421</v>
      </c>
    </row>
    <row r="44" spans="1:5" x14ac:dyDescent="0.25">
      <c r="A44" s="3">
        <v>42</v>
      </c>
      <c r="D44" s="5" t="s">
        <v>1</v>
      </c>
      <c r="E44" s="3" t="s">
        <v>19</v>
      </c>
    </row>
    <row r="45" spans="1:5" x14ac:dyDescent="0.25">
      <c r="A45" s="3">
        <v>62</v>
      </c>
      <c r="D45" s="5" t="s">
        <v>4</v>
      </c>
      <c r="E45" s="12">
        <f>C$32+E43</f>
        <v>52.610592914591699</v>
      </c>
    </row>
    <row r="46" spans="1:5" x14ac:dyDescent="0.25">
      <c r="A46" s="3">
        <v>42</v>
      </c>
      <c r="D46" s="5" t="s">
        <v>5</v>
      </c>
      <c r="E46" s="12">
        <f>C$32-E43</f>
        <v>51.093110789112011</v>
      </c>
    </row>
    <row r="47" spans="1:5" x14ac:dyDescent="0.25">
      <c r="A47" s="3">
        <v>41</v>
      </c>
    </row>
    <row r="48" spans="1:5" x14ac:dyDescent="0.25">
      <c r="A48" s="3">
        <v>67</v>
      </c>
    </row>
    <row r="49" spans="1:5" x14ac:dyDescent="0.25">
      <c r="A49" s="3">
        <v>37</v>
      </c>
      <c r="D49" s="2" t="s">
        <v>9</v>
      </c>
      <c r="E49" s="2"/>
    </row>
    <row r="50" spans="1:5" x14ac:dyDescent="0.25">
      <c r="A50" s="3">
        <v>47</v>
      </c>
      <c r="D50" s="5" t="s">
        <v>11</v>
      </c>
      <c r="E50" s="11">
        <v>0.99</v>
      </c>
    </row>
    <row r="51" spans="1:5" x14ac:dyDescent="0.25">
      <c r="A51" s="3">
        <v>66</v>
      </c>
      <c r="D51" s="5" t="s">
        <v>2</v>
      </c>
      <c r="E51" s="12">
        <f>1-E50</f>
        <v>1.0000000000000009E-2</v>
      </c>
    </row>
    <row r="52" spans="1:5" x14ac:dyDescent="0.25">
      <c r="A52" s="3">
        <v>50</v>
      </c>
      <c r="D52" s="5" t="s">
        <v>10</v>
      </c>
      <c r="E52" s="12">
        <f>_xlfn.CONFIDENCE.NORM(E51,C$33,C$34)</f>
        <v>1.1881832104619152</v>
      </c>
    </row>
    <row r="53" spans="1:5" x14ac:dyDescent="0.25">
      <c r="A53" s="3">
        <v>54</v>
      </c>
      <c r="D53" s="5" t="s">
        <v>1</v>
      </c>
      <c r="E53" s="3" t="s">
        <v>20</v>
      </c>
    </row>
    <row r="54" spans="1:5" x14ac:dyDescent="0.25">
      <c r="A54" s="3">
        <v>47</v>
      </c>
      <c r="D54" s="5" t="s">
        <v>4</v>
      </c>
      <c r="E54" s="12">
        <f>C$32+E52</f>
        <v>53.04003506231377</v>
      </c>
    </row>
    <row r="55" spans="1:5" x14ac:dyDescent="0.25">
      <c r="A55" s="3">
        <v>50</v>
      </c>
      <c r="D55" s="5" t="s">
        <v>5</v>
      </c>
      <c r="E55" s="12">
        <f>C$32-E52</f>
        <v>50.66366864138994</v>
      </c>
    </row>
    <row r="56" spans="1:5" x14ac:dyDescent="0.25">
      <c r="A56" s="3">
        <v>42</v>
      </c>
    </row>
    <row r="57" spans="1:5" x14ac:dyDescent="0.25">
      <c r="A57" s="3">
        <v>57</v>
      </c>
    </row>
    <row r="58" spans="1:5" x14ac:dyDescent="0.25">
      <c r="A58" s="3">
        <v>49</v>
      </c>
    </row>
    <row r="59" spans="1:5" x14ac:dyDescent="0.25">
      <c r="A59" s="3">
        <v>62</v>
      </c>
    </row>
    <row r="60" spans="1:5" x14ac:dyDescent="0.25">
      <c r="A60" s="3">
        <v>54</v>
      </c>
    </row>
    <row r="61" spans="1:5" x14ac:dyDescent="0.25">
      <c r="A61" s="3">
        <v>64</v>
      </c>
    </row>
    <row r="62" spans="1:5" x14ac:dyDescent="0.25">
      <c r="A62" s="3">
        <v>41</v>
      </c>
    </row>
    <row r="63" spans="1:5" x14ac:dyDescent="0.25">
      <c r="A63" s="3">
        <v>65</v>
      </c>
    </row>
    <row r="64" spans="1:5" x14ac:dyDescent="0.25">
      <c r="A64" s="3">
        <v>39</v>
      </c>
    </row>
    <row r="65" spans="1:1" x14ac:dyDescent="0.25">
      <c r="A65" s="3">
        <v>50</v>
      </c>
    </row>
    <row r="66" spans="1:1" x14ac:dyDescent="0.25">
      <c r="A66" s="3">
        <v>67</v>
      </c>
    </row>
    <row r="67" spans="1:1" x14ac:dyDescent="0.25">
      <c r="A67" s="3">
        <v>42</v>
      </c>
    </row>
    <row r="68" spans="1:1" x14ac:dyDescent="0.25">
      <c r="A68" s="3">
        <v>54</v>
      </c>
    </row>
    <row r="69" spans="1:1" x14ac:dyDescent="0.25">
      <c r="A69" s="3">
        <v>49</v>
      </c>
    </row>
    <row r="70" spans="1:1" x14ac:dyDescent="0.25">
      <c r="A70" s="3">
        <v>54</v>
      </c>
    </row>
    <row r="71" spans="1:1" x14ac:dyDescent="0.25">
      <c r="A71" s="3">
        <v>49</v>
      </c>
    </row>
    <row r="72" spans="1:1" x14ac:dyDescent="0.25">
      <c r="A72" s="3">
        <v>52</v>
      </c>
    </row>
    <row r="73" spans="1:1" x14ac:dyDescent="0.25">
      <c r="A73" s="3">
        <v>55</v>
      </c>
    </row>
    <row r="74" spans="1:1" x14ac:dyDescent="0.25">
      <c r="A74" s="3">
        <v>49</v>
      </c>
    </row>
    <row r="75" spans="1:1" x14ac:dyDescent="0.25">
      <c r="A75" s="3">
        <v>63</v>
      </c>
    </row>
    <row r="76" spans="1:1" x14ac:dyDescent="0.25">
      <c r="A76" s="3">
        <v>48</v>
      </c>
    </row>
    <row r="77" spans="1:1" x14ac:dyDescent="0.25">
      <c r="A77" s="3">
        <v>49</v>
      </c>
    </row>
    <row r="78" spans="1:1" x14ac:dyDescent="0.25">
      <c r="A78" s="3">
        <v>55</v>
      </c>
    </row>
    <row r="79" spans="1:1" x14ac:dyDescent="0.25">
      <c r="A79" s="3">
        <v>67</v>
      </c>
    </row>
    <row r="80" spans="1:1" x14ac:dyDescent="0.25">
      <c r="A80" s="3">
        <v>37</v>
      </c>
    </row>
    <row r="81" spans="1:1" x14ac:dyDescent="0.25">
      <c r="A81" s="3">
        <v>45</v>
      </c>
    </row>
    <row r="82" spans="1:1" x14ac:dyDescent="0.25">
      <c r="A82" s="3">
        <v>59</v>
      </c>
    </row>
  </sheetData>
  <mergeCells count="6">
    <mergeCell ref="B30:C30"/>
    <mergeCell ref="B1:C1"/>
    <mergeCell ref="B2:C2"/>
    <mergeCell ref="D2:E2"/>
    <mergeCell ref="B31:C31"/>
    <mergeCell ref="D31:E3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Esercizi</vt:lpstr>
      <vt:lpstr>camp</vt:lpstr>
      <vt:lpstr>campione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Iole Di Capua</dc:creator>
  <cp:lastModifiedBy>Iole Di Capua</cp:lastModifiedBy>
  <dcterms:created xsi:type="dcterms:W3CDTF">2026-07-07T19:05:09Z</dcterms:created>
  <dcterms:modified xsi:type="dcterms:W3CDTF">2026-07-08T10:22:25Z</dcterms:modified>
</cp:coreProperties>
</file>