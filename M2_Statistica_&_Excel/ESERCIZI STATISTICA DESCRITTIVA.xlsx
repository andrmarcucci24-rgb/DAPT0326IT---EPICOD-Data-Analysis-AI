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"/>
    </mc:Choice>
  </mc:AlternateContent>
  <xr:revisionPtr revIDLastSave="0" documentId="13_ncr:1_{0DD8EF5B-F443-4D9E-84F0-C67729A7855C}" xr6:coauthVersionLast="47" xr6:coauthVersionMax="47" xr10:uidLastSave="{00000000-0000-0000-0000-000000000000}"/>
  <bookViews>
    <workbookView xWindow="-120" yWindow="-120" windowWidth="29040" windowHeight="15720" xr2:uid="{CE56E516-1B62-4124-9771-D4FC9EA234F2}"/>
  </bookViews>
  <sheets>
    <sheet name="Esercizio 1" sheetId="1" r:id="rId1"/>
    <sheet name="Esercizio 2" sheetId="2" r:id="rId2"/>
  </sheets>
  <definedNames>
    <definedName name="_18_21">'Esercizio 1'!$B$17:$C$17</definedName>
    <definedName name="_22_25">'Esercizio 1'!$B$18:$C$18</definedName>
    <definedName name="_26_30">'Esercizio 1'!$B$19:$C$19</definedName>
    <definedName name="_xlchart.v1.0" hidden="1">'Esercizio 1'!$B$1</definedName>
    <definedName name="_xlchart.v1.1" hidden="1">'Esercizio 1'!$B$2:$B$13</definedName>
    <definedName name="_xlchart.v1.2" hidden="1">'Esercizio 1'!$B$1</definedName>
    <definedName name="_xlchart.v1.3" hidden="1">'Esercizio 1'!$B$2:$B$13</definedName>
    <definedName name="_xlchart.v1.4" hidden="1">'Esercizio 2'!$B$1</definedName>
    <definedName name="_xlchart.v1.5" hidden="1">'Esercizio 2'!$B$2:$B$14</definedName>
    <definedName name="classe">'Esercizio 2'!$A$19:$A$21</definedName>
    <definedName name="classi">'Esercizio 1'!$B$17:$C$19</definedName>
    <definedName name="f">'Esercizio 1'!$C$17:$C$19</definedName>
    <definedName name="f_assoluta">'Esercizio 1'!$B$17:$B$19</definedName>
    <definedName name="frequenza">'Esercizio 2'!$B$19:$B$21</definedName>
    <definedName name="IQR">'Esercizio 2'!$E$10</definedName>
    <definedName name="Q1_">'Esercizio 2'!$E$8</definedName>
    <definedName name="Q3_">'Esercizio 2'!$E$9</definedName>
    <definedName name="studenti" localSheetId="1">'Esercizio 2'!$A$2:$A$14</definedName>
    <definedName name="studenti">'Esercizio 1'!$A$2:$A$13</definedName>
    <definedName name="voti" localSheetId="1">'Esercizio 2'!$B$2:$B$14</definedName>
    <definedName name="voti">'Esercizio 1'!$B$2:$B$13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E6" i="2"/>
  <c r="B23" i="2"/>
  <c r="B21" i="1"/>
  <c r="E9" i="2"/>
  <c r="E8" i="2"/>
  <c r="E4" i="2"/>
  <c r="E3" i="2"/>
  <c r="E9" i="1"/>
  <c r="E8" i="1"/>
  <c r="E7" i="1"/>
  <c r="E6" i="1"/>
  <c r="F4" i="1"/>
  <c r="E4" i="1" a="1"/>
  <c r="E3" i="1"/>
  <c r="E2" i="1"/>
  <c r="E10" i="2" l="1"/>
  <c r="C20" i="2"/>
  <c r="C21" i="2"/>
  <c r="C19" i="2"/>
  <c r="E10" i="1"/>
  <c r="C18" i="1"/>
  <c r="C19" i="1"/>
  <c r="C17" i="1"/>
  <c r="E13" i="2" l="1"/>
  <c r="E14" i="2"/>
  <c r="E11" i="1"/>
  <c r="E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tc={D758B23A-8748-44A3-AAF9-FC4808EB15E6}</author>
    <author>tc={39D34B9D-3475-414C-8B35-018A7BC160EE}</author>
  </authors>
  <commentList>
    <comment ref="E7" authorId="0" shapeId="0" xr:uid="{D758B23A-8748-44A3-AAF9-FC4808EB15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Molto bassa quindi i dati non sono molto dispersi </t>
      </text>
    </comment>
    <comment ref="D11" authorId="1" shapeId="0" xr:uid="{39D34B9D-3475-414C-8B35-018A7BC160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outlier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tc={E9114A81-67AE-48B0-889F-0121FE0579F6}</author>
    <author>tc={FB96C968-330B-4FDE-8E2D-C6B59AFAC126}</author>
    <author>tc={EB1DE574-B88C-4DD2-A087-05C1C258D94D}</author>
  </authors>
  <commentList>
    <comment ref="E3" authorId="0" shapeId="0" xr:uid="{E9114A81-67AE-48B0-889F-0121FE0579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medie ne risente maggiormente in quanto c’è il valore 95 come aoutlier </t>
      </text>
    </comment>
    <comment ref="E6" authorId="1" shapeId="0" xr:uid="{FB96C968-330B-4FDE-8E2D-C6B59AFAC1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Molto alta, quindi i dati sono maggiormente dispersi, influenzato dagli outlier</t>
      </text>
    </comment>
    <comment ref="B14" authorId="2" shapeId="0" xr:uid="{EB1DE574-B88C-4DD2-A087-05C1C258D94D}">
      <text>
        <t>[Threaded comment]
Your version of Excel allows you to read this threaded comment; however, any edits to it will get removed if the file is opened in a newer version of Excel. Learn more: https://go.microsoft.com/fwlink/?linkid=870924
Comment:
    Outlier poiché supera di molto il limite superiore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<sst xmlns="http://schemas.openxmlformats.org/spreadsheetml/2006/main" count="42" uniqueCount="31">
  <si>
    <t>studenti</t>
  </si>
  <si>
    <t>voti</t>
  </si>
  <si>
    <t>IQR</t>
  </si>
  <si>
    <t>classi</t>
  </si>
  <si>
    <t>18-21</t>
  </si>
  <si>
    <t>22-25</t>
  </si>
  <si>
    <t>26-30</t>
  </si>
  <si>
    <t>classe modale</t>
  </si>
  <si>
    <t>Q1</t>
  </si>
  <si>
    <t>Q3</t>
  </si>
  <si>
    <t>DEVST</t>
  </si>
  <si>
    <t>VAR</t>
  </si>
  <si>
    <t>MODA</t>
  </si>
  <si>
    <t>MEDIANA</t>
  </si>
  <si>
    <t>MEDIA</t>
  </si>
  <si>
    <t>LIMITE_INFERIORE (limiti Tukey)</t>
  </si>
  <si>
    <t>LIMITE_SUPERIORE (limiti Tukey)</t>
  </si>
  <si>
    <t xml:space="preserve">INFERIORE </t>
  </si>
  <si>
    <t xml:space="preserve">SUPERIORE </t>
  </si>
  <si>
    <t>limiti di Tukey</t>
  </si>
  <si>
    <t>classe</t>
  </si>
  <si>
    <t xml:space="preserve">frequenza </t>
  </si>
  <si>
    <t>26-95</t>
  </si>
  <si>
    <t xml:space="preserve">classe modale </t>
  </si>
  <si>
    <t>STDEV</t>
  </si>
  <si>
    <t>VARIANZA</t>
  </si>
  <si>
    <t>26-95 (Asimmetrica a sinistra</t>
  </si>
  <si>
    <t>26-30 (Asimmetrica a sinistra)</t>
  </si>
  <si>
    <t>frequenza %</t>
  </si>
  <si>
    <t>TOT_Frequenza</t>
  </si>
  <si>
    <t>frequenza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</si>
</sst>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voti 12 studenti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'Esercizio 1'!$C$16</c:f>
              <c:strCache>
                <c:ptCount val="1"/>
                <c:pt idx="0">
                  <c:v>frequenza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839-457A-9DF4-95108DDC8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839-457A-9DF4-95108DDC8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839-457A-9DF4-95108DDC8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1'!$A$17:$A$19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'Esercizio 1'!$C$17:$C$19</c:f>
              <c:numCache>
                <c:formatCode>General</c:formatCode>
                <c:ptCount val="3"/>
                <c:pt idx="0">
                  <c:v>8.3333333333333321</c:v>
                </c:pt>
                <c:pt idx="1">
                  <c:v>25</c:v>
                </c:pt>
                <c:pt idx="2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9-457A-9DF4-95108DDC85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9619535"/>
        <c:axId val="4748865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'Esercizio 1'!$B$16</c15:sqref>
                        </c15:formulaRef>
                      </c:ext>
                    </c:extLst>
                    <c:strCache>
                      <c:ptCount val="1"/>
                      <c:pt idx="0">
                        <c:v>frequenza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'Esercizio 1'!$A$17:$A$19</c15:sqref>
                        </c15:formulaRef>
                      </c:ext>
                    </c:extLst>
                    <c:strCache>
                      <c:ptCount val="3"/>
                      <c:pt idx="0">
                        <c:v>18-21</c:v>
                      </c:pt>
                      <c:pt idx="1">
                        <c:v>22-25</c:v>
                      </c:pt>
                      <c:pt idx="2">
                        <c:v>26-30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'Esercizio 1'!$B$17:$B$19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39-457A-9DF4-95108DDC85F4}"/>
                  </c:ext>
                </c:extLst>
              </c15:ser>
            </c15:filteredBarSeries>
          </c:ext>
        </c:extLst>
      </c:barChart>
      <c:catAx>
        <c:axId val="6596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74886575"/>
        <c:crosses val="autoZero"/>
        <c:auto val="1"/>
        <c:lblAlgn val="ctr"/>
        <c:lblOffset val="100"/>
        <c:noMultiLvlLbl val="0"/>
      </c:catAx>
      <c:valAx>
        <c:axId val="4748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96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voti</a:t>
            </a:r>
            <a:r>
              <a:rPr lang="it-IT" baseline="0"/>
              <a:t> 13 studenti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'Esercizio 2'!$C$18</c:f>
              <c:strCache>
                <c:ptCount val="1"/>
                <c:pt idx="0">
                  <c:v>frequenza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616-4C35-84B5-2FF78E2EBD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616-4C35-84B5-2FF78E2EBD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616-4C35-84B5-2FF78E2EBD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'Esercizio 2'!$A$19:$A$21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26-95</c:v>
                </c:pt>
              </c:strCache>
            </c:strRef>
          </c:cat>
          <c:val>
            <c:numRef>
              <c:f>'Esercizio 2'!$C$19:$C$21</c:f>
              <c:numCache>
                <c:formatCode>General</c:formatCode>
                <c:ptCount val="3"/>
                <c:pt idx="0">
                  <c:v>7.6923076923076925</c:v>
                </c:pt>
                <c:pt idx="1">
                  <c:v>23.076923076923077</c:v>
                </c:pt>
                <c:pt idx="2">
                  <c:v>69.230769230769226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6-4C35-84B5-2FF78E2EB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7354336"/>
        <c:axId val="18752073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'Esercizio 2'!$B$18</c15:sqref>
                        </c15:formulaRef>
                      </c:ext>
                    </c:extLst>
                    <c:strCache>
                      <c:ptCount val="1"/>
                      <c:pt idx="0">
                        <c:v>frequenza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'Esercizio 2'!$A$19:$A$21</c15:sqref>
                        </c15:formulaRef>
                      </c:ext>
                    </c:extLst>
                    <c:strCache>
                      <c:ptCount val="3"/>
                      <c:pt idx="0">
                        <c:v>18-21</c:v>
                      </c:pt>
                      <c:pt idx="1">
                        <c:v>22-25</c:v>
                      </c:pt>
                      <c:pt idx="2">
                        <c:v>26-95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'Esercizio 2'!$B$19:$B$21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3</c:v>
                      </c:pt>
                      <c:pt idx="2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616-4C35-84B5-2FF78E2EBD81}"/>
                  </c:ext>
                </c:extLst>
              </c15:ser>
            </c15:filteredBarSeries>
          </c:ext>
        </c:extLst>
      </c:barChart>
      <c:catAx>
        <c:axId val="17373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5207376"/>
        <c:crosses val="autoZero"/>
        <c:auto val="1"/>
        <c:lblAlgn val="ctr"/>
        <c:lblOffset val="100"/>
        <c:noMultiLvlLbl val="0"/>
      </c:catAx>
      <c:valAx>
        <c:axId val="18752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73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Voti 12 studenti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Voti 12 studenti </a:t>
          </a:r>
        </a:p>
      </cx:txPr>
    </cx:title>
    <cx:plotArea>
      <cx:plotAreaRegion>
        <cx:series layoutId="boxWhisker" uniqueId="{00000000-1841-454B-A48B-39E6BA8E1662}">
          <cx:tx>
            <cx:txData>
              <cx:f>_xlchart.v1.0</cx:f>
              <cx:v>voti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voti 13 studenti 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0000000-F406-4935-AD69-185A18E5F51C}">
          <cx:tx>
            <cx:txData>
              <cx:f>_xlchart.v1.4</cx:f>
              <cx:v>voti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1228725</xdr:colOff>
      <xdr:row>22</xdr:row>
      <xdr:rowOff>23812</xdr:rowOff>
    </xdr:from>
    <xdr:to>
      <xdr:col>5</xdr:col>
      <xdr:colOff>104775</xdr:colOff>
      <xdr:row>36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B0C7FD-9C34-3523-9DEA-9F6D2B44E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28574</xdr:colOff>
      <xdr:row>0</xdr:row>
      <xdr:rowOff>142875</xdr:rowOff>
    </xdr:from>
    <xdr:to>
      <xdr:col>8</xdr:col>
      <xdr:colOff>1062035</xdr:colOff>
      <xdr:row>19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080C6D-BF71-14B9-E87E-19C645DA9B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0074" y="142875"/>
              <a:ext cx="5033961" cy="3567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590552</xdr:colOff>
      <xdr:row>0</xdr:row>
      <xdr:rowOff>161244</xdr:rowOff>
    </xdr:from>
    <xdr:to>
      <xdr:col>8</xdr:col>
      <xdr:colOff>47626</xdr:colOff>
      <xdr:row>15</xdr:row>
      <xdr:rowOff>46944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7FF3495-569F-5A56-F28D-29113D813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35195" y="161244"/>
              <a:ext cx="47638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1028701</xdr:colOff>
      <xdr:row>24</xdr:row>
      <xdr:rowOff>23812</xdr:rowOff>
    </xdr:from>
    <xdr:to>
      <xdr:col>5</xdr:col>
      <xdr:colOff>133350</xdr:colOff>
      <xdr:row>38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A8A10-7646-2E6D-6341-4B873E40D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ole Di Capua" id="{267A1920-62B7-49C9-8738-50939D565600}" userId="S::iole.dicapua@szn.it::2c4751f7-cd74-4440-a814-66d144942f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06-30T14:46:07.98" personId="{267A1920-62B7-49C9-8738-50939D565600}" id="{D758B23A-8748-44A3-AAF9-FC4808EB15E6}">
    <text xml:space="preserve">Molto bassa quindi i dati non sono molto dispersi </text>
  </threadedComment>
  <threadedComment ref="D11" dT="2026-06-30T14:37:32.23" personId="{267A1920-62B7-49C9-8738-50939D565600}" id="{39D34B9D-3475-414C-8B35-018A7BC160EE}">
    <text xml:space="preserve">No outlier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6-06-30T14:23:22.72" personId="{267A1920-62B7-49C9-8738-50939D565600}" id="{E9114A81-67AE-48B0-889F-0121FE0579F6}">
    <text xml:space="preserve">La medie ne risente maggiormente in quanto c’è il valore 95 come aoutlier </text>
  </threadedComment>
  <threadedComment ref="E6" dT="2026-06-30T14:45:37.10" personId="{267A1920-62B7-49C9-8738-50939D565600}" id="{FB96C968-330B-4FDE-8E2D-C6B59AFAC126}">
    <text>Molto alta, quindi i dati sono maggiormente dispersi, influenzato dagli outlier</text>
  </threadedComment>
  <threadedComment ref="B14" dT="2026-06-30T14:22:49.07" personId="{267A1920-62B7-49C9-8738-50939D565600}" id="{EB1DE574-B88C-4DD2-A087-05C1C258D94D}">
    <text>Outlier poiché supera di molto il limite superiore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57F3-ECC1-4857-B94D-BB4A9A013807}">
  <dimension ref="A1:F21"/>
  <sheetViews>
    <sheetView tabSelected="1" workbookViewId="0">
      <selection activeCell="B27" sqref="B27"/>
    </sheetView>
  </sheetViews>
  <sheetFormatPr defaultColWidth="30" defaultRowHeight="15" x14ac:dyDescent="0.25"/>
  <cols>
    <col min="1" max="16384" width="30" style="2"/>
  </cols>
  <sheetData>
    <row r="1" spans="1:6" x14ac:dyDescent="0.25">
      <c r="A1" s="7" t="s">
        <v>0</v>
      </c>
      <c r="B1" s="7" t="s">
        <v>1</v>
      </c>
    </row>
    <row r="2" spans="1:6" x14ac:dyDescent="0.25">
      <c r="A2" s="8">
        <v>1</v>
      </c>
      <c r="B2" s="8">
        <v>18</v>
      </c>
      <c r="D2" s="1" t="s">
        <v>14</v>
      </c>
      <c r="E2" s="2">
        <f>AVERAGE(voti)</f>
        <v>26.666666666666668</v>
      </c>
    </row>
    <row r="3" spans="1:6" x14ac:dyDescent="0.25">
      <c r="A3" s="8">
        <v>2</v>
      </c>
      <c r="B3" s="8">
        <v>22</v>
      </c>
      <c r="D3" s="1" t="s">
        <v>13</v>
      </c>
      <c r="E3" s="2">
        <f>MEDIAN(voti)</f>
        <v>28</v>
      </c>
    </row>
    <row r="4" spans="1:6" x14ac:dyDescent="0.25">
      <c r="A4" s="8">
        <v>3</v>
      </c>
      <c r="B4" s="8">
        <v>25</v>
      </c>
      <c r="D4" s="1" t="s">
        <v>12</v>
      </c>
      <c r="E4" s="2" cm="1">
        <f t="array" ref="E4:E5">_xlfn.MODE.MULT(voti)</f>
        <v>28</v>
      </c>
      <c r="F4" s="2">
        <f>_xlfn.MODE.SNGL(voti)</f>
        <v>28</v>
      </c>
    </row>
    <row r="5" spans="1:6" x14ac:dyDescent="0.25">
      <c r="A5" s="8">
        <v>4</v>
      </c>
      <c r="B5" s="8">
        <v>25</v>
      </c>
      <c r="D5" s="1"/>
      <c r="E5" s="2">
        <v>30</v>
      </c>
    </row>
    <row r="6" spans="1:6" x14ac:dyDescent="0.25">
      <c r="A6" s="8">
        <v>5</v>
      </c>
      <c r="B6" s="8">
        <v>27</v>
      </c>
      <c r="D6" s="1" t="s">
        <v>11</v>
      </c>
      <c r="E6" s="2">
        <f>_xlfn.VAR.P(voti)</f>
        <v>12.222222222222221</v>
      </c>
    </row>
    <row r="7" spans="1:6" x14ac:dyDescent="0.25">
      <c r="A7" s="8">
        <v>6</v>
      </c>
      <c r="B7" s="8">
        <v>28</v>
      </c>
      <c r="D7" s="1" t="s">
        <v>10</v>
      </c>
      <c r="E7" s="3">
        <f>_xlfn.STDEV.P(voti)</f>
        <v>3.496029493900505</v>
      </c>
    </row>
    <row r="8" spans="1:6" x14ac:dyDescent="0.25">
      <c r="A8" s="8">
        <v>7</v>
      </c>
      <c r="B8" s="8">
        <v>28</v>
      </c>
      <c r="D8" s="1" t="s">
        <v>8</v>
      </c>
      <c r="E8" s="2">
        <f>_xlfn.QUARTILE.INC(voti,1)</f>
        <v>25</v>
      </c>
    </row>
    <row r="9" spans="1:6" x14ac:dyDescent="0.25">
      <c r="A9" s="8">
        <v>8</v>
      </c>
      <c r="B9" s="8">
        <v>28</v>
      </c>
      <c r="D9" s="1" t="s">
        <v>9</v>
      </c>
      <c r="E9" s="2">
        <f>_xlfn.QUARTILE.INC(voti,3)</f>
        <v>29.25</v>
      </c>
    </row>
    <row r="10" spans="1:6" x14ac:dyDescent="0.25">
      <c r="A10" s="8">
        <v>9</v>
      </c>
      <c r="B10" s="8">
        <v>29</v>
      </c>
      <c r="D10" s="1" t="s">
        <v>2</v>
      </c>
      <c r="E10" s="2">
        <f>(E9-E8)</f>
        <v>4.25</v>
      </c>
    </row>
    <row r="11" spans="1:6" x14ac:dyDescent="0.25">
      <c r="A11" s="8">
        <v>10</v>
      </c>
      <c r="B11" s="8">
        <v>30</v>
      </c>
      <c r="D11" s="4" t="s">
        <v>15</v>
      </c>
      <c r="E11" s="3">
        <f>(E8-(1.5*E10))</f>
        <v>18.625</v>
      </c>
    </row>
    <row r="12" spans="1:6" x14ac:dyDescent="0.25">
      <c r="A12" s="8">
        <v>11</v>
      </c>
      <c r="B12" s="8">
        <v>30</v>
      </c>
      <c r="D12" s="4" t="s">
        <v>16</v>
      </c>
      <c r="E12" s="3">
        <f>(E9+(1.5*E10))</f>
        <v>35.625</v>
      </c>
    </row>
    <row r="13" spans="1:6" x14ac:dyDescent="0.25">
      <c r="A13" s="8">
        <v>12</v>
      </c>
      <c r="B13" s="8">
        <v>30</v>
      </c>
    </row>
    <row r="16" spans="1:6" x14ac:dyDescent="0.25">
      <c r="A16" s="7" t="s">
        <v>3</v>
      </c>
      <c r="B16" s="7" t="s">
        <v>30</v>
      </c>
      <c r="C16" s="7" t="s">
        <v>28</v>
      </c>
    </row>
    <row r="17" spans="1:5" x14ac:dyDescent="0.25">
      <c r="A17" s="8" t="s">
        <v>4</v>
      </c>
      <c r="B17" s="8">
        <v>1</v>
      </c>
      <c r="C17" s="8">
        <f>(B17/B$21)*100</f>
        <v>8.3333333333333321</v>
      </c>
    </row>
    <row r="18" spans="1:5" x14ac:dyDescent="0.25">
      <c r="A18" s="8" t="s">
        <v>5</v>
      </c>
      <c r="B18" s="8">
        <v>3</v>
      </c>
      <c r="C18" s="8">
        <f>(B18/B$21)*100</f>
        <v>25</v>
      </c>
      <c r="E18" s="5" t="s">
        <v>7</v>
      </c>
    </row>
    <row r="19" spans="1:5" x14ac:dyDescent="0.25">
      <c r="A19" s="8" t="s">
        <v>6</v>
      </c>
      <c r="B19" s="8">
        <v>8</v>
      </c>
      <c r="C19" s="8">
        <f>(B19/B$21)*100</f>
        <v>66.666666666666657</v>
      </c>
      <c r="E19" s="6" t="s">
        <v>27</v>
      </c>
    </row>
    <row r="21" spans="1:5" x14ac:dyDescent="0.25">
      <c r="A21" s="1" t="s">
        <v>29</v>
      </c>
      <c r="B21" s="2">
        <f>SUM(f_assoluta)</f>
        <v>12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4E88-7303-4A51-AA20-9D900A18F1F7}">
  <dimension ref="A1:E23"/>
  <sheetViews>
    <sheetView zoomScale="70" workbookViewId="0">
      <selection activeCell="A23" sqref="A23"/>
    </sheetView>
  </sheetViews>
  <sheetFormatPr defaultColWidth="26.5703125" defaultRowHeight="15" x14ac:dyDescent="0.25"/>
  <cols>
    <col min="1" max="2" width="26.5703125" style="2"/>
    <col min="3" max="3" width="26.5703125" style="1"/>
    <col min="4" max="16384" width="26.5703125" style="2"/>
  </cols>
  <sheetData>
    <row r="1" spans="1:5" x14ac:dyDescent="0.25">
      <c r="A1" s="7" t="s">
        <v>0</v>
      </c>
      <c r="B1" s="7" t="s">
        <v>1</v>
      </c>
    </row>
    <row r="2" spans="1:5" x14ac:dyDescent="0.25">
      <c r="A2" s="8">
        <v>1</v>
      </c>
      <c r="B2" s="8">
        <v>18</v>
      </c>
    </row>
    <row r="3" spans="1:5" x14ac:dyDescent="0.25">
      <c r="A3" s="8">
        <v>2</v>
      </c>
      <c r="B3" s="8">
        <v>22</v>
      </c>
      <c r="C3" s="2"/>
      <c r="D3" s="1" t="s">
        <v>14</v>
      </c>
      <c r="E3" s="3">
        <f>AVERAGE(voti)</f>
        <v>31.923076923076923</v>
      </c>
    </row>
    <row r="4" spans="1:5" x14ac:dyDescent="0.25">
      <c r="A4" s="8">
        <v>3</v>
      </c>
      <c r="B4" s="8">
        <v>25</v>
      </c>
      <c r="C4" s="2"/>
      <c r="D4" s="1" t="s">
        <v>13</v>
      </c>
      <c r="E4" s="2">
        <f>MEDIAN(voti)</f>
        <v>28</v>
      </c>
    </row>
    <row r="5" spans="1:5" x14ac:dyDescent="0.25">
      <c r="A5" s="8">
        <v>4</v>
      </c>
      <c r="B5" s="8">
        <v>25</v>
      </c>
      <c r="C5" s="2"/>
      <c r="D5" s="1" t="s">
        <v>25</v>
      </c>
      <c r="E5" s="2">
        <f>_xlfn.VAR.P(voti)</f>
        <v>342.84023668639054</v>
      </c>
    </row>
    <row r="6" spans="1:5" x14ac:dyDescent="0.25">
      <c r="A6" s="8">
        <v>5</v>
      </c>
      <c r="B6" s="8">
        <v>27</v>
      </c>
      <c r="C6" s="2"/>
      <c r="D6" s="1" t="s">
        <v>24</v>
      </c>
      <c r="E6" s="10">
        <f>_xlfn.STDEV.P(voti)</f>
        <v>18.515945471036325</v>
      </c>
    </row>
    <row r="7" spans="1:5" x14ac:dyDescent="0.25">
      <c r="A7" s="8">
        <v>6</v>
      </c>
      <c r="B7" s="8">
        <v>28</v>
      </c>
      <c r="C7" s="2"/>
      <c r="D7" s="1"/>
    </row>
    <row r="8" spans="1:5" x14ac:dyDescent="0.25">
      <c r="A8" s="8">
        <v>7</v>
      </c>
      <c r="B8" s="8">
        <v>28</v>
      </c>
      <c r="C8" s="2"/>
      <c r="D8" s="1" t="s">
        <v>8</v>
      </c>
      <c r="E8" s="2">
        <f>_xlfn.QUARTILE.INC(voti,1)</f>
        <v>25</v>
      </c>
    </row>
    <row r="9" spans="1:5" x14ac:dyDescent="0.25">
      <c r="A9" s="8">
        <v>8</v>
      </c>
      <c r="B9" s="8">
        <v>28</v>
      </c>
      <c r="C9" s="2"/>
      <c r="D9" s="1" t="s">
        <v>9</v>
      </c>
      <c r="E9" s="2">
        <f>_xlfn.QUARTILE.INC(voti,3)</f>
        <v>30</v>
      </c>
    </row>
    <row r="10" spans="1:5" x14ac:dyDescent="0.25">
      <c r="A10" s="8">
        <v>9</v>
      </c>
      <c r="B10" s="8">
        <v>29</v>
      </c>
      <c r="C10" s="2"/>
      <c r="D10" s="1" t="s">
        <v>2</v>
      </c>
      <c r="E10" s="2">
        <f>Q3_-Q1_</f>
        <v>5</v>
      </c>
    </row>
    <row r="11" spans="1:5" x14ac:dyDescent="0.25">
      <c r="A11" s="8">
        <v>10</v>
      </c>
      <c r="B11" s="8">
        <v>30</v>
      </c>
      <c r="C11" s="2"/>
      <c r="D11" s="1"/>
    </row>
    <row r="12" spans="1:5" x14ac:dyDescent="0.25">
      <c r="A12" s="8">
        <v>11</v>
      </c>
      <c r="B12" s="8">
        <v>30</v>
      </c>
      <c r="C12" s="2"/>
      <c r="D12" s="1" t="s">
        <v>19</v>
      </c>
    </row>
    <row r="13" spans="1:5" x14ac:dyDescent="0.25">
      <c r="A13" s="8">
        <v>12</v>
      </c>
      <c r="B13" s="8">
        <v>30</v>
      </c>
      <c r="C13" s="2"/>
      <c r="D13" s="1" t="s">
        <v>17</v>
      </c>
      <c r="E13" s="2">
        <f>(Q1_-(1.5*IQR))</f>
        <v>17.5</v>
      </c>
    </row>
    <row r="14" spans="1:5" x14ac:dyDescent="0.25">
      <c r="A14" s="9">
        <v>13</v>
      </c>
      <c r="B14" s="9">
        <v>95</v>
      </c>
      <c r="C14" s="2"/>
      <c r="D14" s="1" t="s">
        <v>18</v>
      </c>
      <c r="E14" s="2">
        <f>(Q3_+(1.5*IQR))</f>
        <v>37.5</v>
      </c>
    </row>
    <row r="18" spans="1:5" x14ac:dyDescent="0.25">
      <c r="A18" s="7" t="s">
        <v>20</v>
      </c>
      <c r="B18" s="7" t="s">
        <v>21</v>
      </c>
      <c r="C18" s="7" t="s">
        <v>28</v>
      </c>
    </row>
    <row r="19" spans="1:5" x14ac:dyDescent="0.25">
      <c r="A19" s="8" t="s">
        <v>4</v>
      </c>
      <c r="B19" s="8">
        <v>1</v>
      </c>
      <c r="C19" s="11">
        <f>(B19/B$23)*100</f>
        <v>7.6923076923076925</v>
      </c>
    </row>
    <row r="20" spans="1:5" x14ac:dyDescent="0.25">
      <c r="A20" s="8" t="s">
        <v>5</v>
      </c>
      <c r="B20" s="8">
        <v>3</v>
      </c>
      <c r="C20" s="11">
        <f t="shared" ref="C20:C21" si="0">(B20/B$23)*100</f>
        <v>23.076923076923077</v>
      </c>
      <c r="E20" s="5" t="s">
        <v>23</v>
      </c>
    </row>
    <row r="21" spans="1:5" x14ac:dyDescent="0.25">
      <c r="A21" s="8" t="s">
        <v>22</v>
      </c>
      <c r="B21" s="8">
        <v>9</v>
      </c>
      <c r="C21" s="11">
        <f t="shared" si="0"/>
        <v>69.230769230769226</v>
      </c>
      <c r="E21" s="6" t="s">
        <v>26</v>
      </c>
    </row>
    <row r="23" spans="1:5" x14ac:dyDescent="0.25">
      <c r="A23" s="1" t="s">
        <v>29</v>
      </c>
      <c r="B23" s="2">
        <f>SUM(frequenza)</f>
        <v>13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Esercizio 1</vt:lpstr>
      <vt:lpstr>Esercizio 2</vt:lpstr>
      <vt:lpstr>_18_21</vt:lpstr>
      <vt:lpstr>_22_25</vt:lpstr>
      <vt:lpstr>_26_30</vt:lpstr>
      <vt:lpstr>classe</vt:lpstr>
      <vt:lpstr>classi</vt:lpstr>
      <vt:lpstr>f</vt:lpstr>
      <vt:lpstr>f_assoluta</vt:lpstr>
      <vt:lpstr>frequenza</vt:lpstr>
      <vt:lpstr>IQR</vt:lpstr>
      <vt:lpstr>Q1_</vt:lpstr>
      <vt:lpstr>Q3_</vt:lpstr>
      <vt:lpstr>'Esercizio 2'!studenti</vt:lpstr>
      <vt:lpstr>studenti</vt:lpstr>
      <vt:lpstr>'Esercizio 2'!voti</vt:lpstr>
      <vt:lpstr>voti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Iole Di Capua</dc:creator>
  <cp:lastModifiedBy>Iole Di Capua</cp:lastModifiedBy>
  <dcterms:created xsi:type="dcterms:W3CDTF">2026-06-30T05:55:30Z</dcterms:created>
  <dcterms:modified xsi:type="dcterms:W3CDTF">2026-06-30T14:58:31Z</dcterms:modified>
</cp:coreProperties>
</file>