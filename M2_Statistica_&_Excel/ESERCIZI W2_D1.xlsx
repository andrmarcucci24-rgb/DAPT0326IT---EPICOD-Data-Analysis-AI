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26F4ED4A-3D49-4F50-BBC7-90195843D747}" xr6:coauthVersionLast="47" xr6:coauthVersionMax="47" xr10:uidLastSave="{00000000-0000-0000-0000-000000000000}"/>
  <bookViews>
    <workbookView xWindow="-120" yWindow="-120" windowWidth="29040" windowHeight="15720" xr2:uid="{324C422D-4253-4915-902A-83CE9EABD2E4}"/>
  </bookViews>
  <sheets>
    <sheet name="W2_D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2" l="1"/>
  <c r="E31" i="2" s="1"/>
  <c r="B31" i="2"/>
  <c r="E21" i="2"/>
  <c r="E22" i="2" s="1"/>
  <c r="E12" i="2"/>
  <c r="E13" i="2" s="1"/>
  <c r="E3" i="2"/>
  <c r="E4" i="2" s="1"/>
  <c r="E33" i="2" l="1"/>
  <c r="E34" i="2"/>
  <c r="E25" i="2"/>
  <c r="E24" i="2"/>
  <c r="E6" i="2"/>
  <c r="E7" i="2"/>
  <c r="E16" i="2"/>
  <c r="E15" i="2"/>
</calcChain>
</file>

<file path=xl/sharedStrings.xml><?xml version="1.0" encoding="utf-8"?>
<sst xmlns="http://schemas.openxmlformats.org/spreadsheetml/2006/main" count="47" uniqueCount="22">
  <si>
    <t>N</t>
  </si>
  <si>
    <t>alpha</t>
  </si>
  <si>
    <t>intervallo</t>
  </si>
  <si>
    <t>data</t>
  </si>
  <si>
    <t>int_conf</t>
  </si>
  <si>
    <t>dev_st</t>
  </si>
  <si>
    <t>media</t>
  </si>
  <si>
    <t xml:space="preserve">inferenza </t>
  </si>
  <si>
    <t>52±1.96</t>
  </si>
  <si>
    <t>erroe_st</t>
  </si>
  <si>
    <t>lim_sup</t>
  </si>
  <si>
    <t>lim_inf</t>
  </si>
  <si>
    <t>52±1.64</t>
  </si>
  <si>
    <t>52±2.58</t>
  </si>
  <si>
    <t>dalla stima puntuale che abbiamo calcolato, accettando un erroe del 5% considerando il livello di confidenza richiesto del 95%, stimiamo un erroe standard di circa 1.96 ottendo un intervallo di confidenza di 52±1.96</t>
  </si>
  <si>
    <t>52±1.29</t>
  </si>
  <si>
    <t>dalla stima puntuale che abbiamo calcolato, accettando un erroe del 10% considerando il livello di confidenza richiesto del 90%, stimiamo un erroe standard di circa 1.64 ottendo un intervallo di confidenza di 52±1.64.</t>
  </si>
  <si>
    <t>dalla stima puntuale che abbiamo calcolato, accettando un erroe del 1% considerando il livello di confidenza richiesto del 99%, stimiamo un erroe standard di circa 2.58 ottendo un intervallo di confidenza di 52±2.58.</t>
  </si>
  <si>
    <t>Si può notare come è aumentato l'intervallo di confidenza all'aumentare del livello di confidenza richiesto.</t>
  </si>
  <si>
    <t>Si può notare come si è ristretto l'intervallo di confidenza al diminuire del livello di confidenza richiesto.</t>
  </si>
  <si>
    <t>Qui si nota come l'incremento dell'N porta ad un dimezzamento dell'erroe standard con un intervallo di confidenza richiesto del 99%.</t>
  </si>
  <si>
    <t>Questo perché all'auemtare dei dati diminuisce l'incertezza intorno alla stima che abbiamo calcolato.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</si>
</sst>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2A6F-B9ED-4880-BE1F-2D61E11EC11E}">
  <dimension ref="A1:G34"/>
  <sheetViews>
    <sheetView tabSelected="1" topLeftCell="A4" workbookViewId="0">
      <selection activeCell="G37" sqref="G37"/>
    </sheetView>
  </sheetViews>
  <sheetFormatPr defaultRowHeight="15" x14ac:dyDescent="0.25"/>
  <cols>
    <col min="7" max="7" width="192.5703125" customWidth="1"/>
  </cols>
  <sheetData>
    <row r="1" spans="1:7" x14ac:dyDescent="0.25">
      <c r="A1" s="5" t="s">
        <v>3</v>
      </c>
      <c r="D1" s="5" t="s">
        <v>7</v>
      </c>
    </row>
    <row r="2" spans="1:7" x14ac:dyDescent="0.25">
      <c r="A2" t="s">
        <v>6</v>
      </c>
      <c r="B2">
        <v>52</v>
      </c>
      <c r="D2" t="s">
        <v>4</v>
      </c>
      <c r="E2" s="2">
        <v>0.95</v>
      </c>
    </row>
    <row r="3" spans="1:7" x14ac:dyDescent="0.25">
      <c r="A3" t="s">
        <v>5</v>
      </c>
      <c r="B3">
        <v>9</v>
      </c>
      <c r="D3" t="s">
        <v>1</v>
      </c>
      <c r="E3" s="3">
        <f>1-E2</f>
        <v>5.0000000000000044E-2</v>
      </c>
    </row>
    <row r="4" spans="1:7" x14ac:dyDescent="0.25">
      <c r="A4" t="s">
        <v>0</v>
      </c>
      <c r="B4">
        <v>81</v>
      </c>
      <c r="D4" t="s">
        <v>9</v>
      </c>
      <c r="E4" s="3">
        <f>_xlfn.CONFIDENCE.NORM(E3,B$3,B$4)</f>
        <v>1.9599639845400536</v>
      </c>
    </row>
    <row r="5" spans="1:7" x14ac:dyDescent="0.25">
      <c r="D5" t="s">
        <v>2</v>
      </c>
      <c r="E5" t="s">
        <v>8</v>
      </c>
    </row>
    <row r="6" spans="1:7" x14ac:dyDescent="0.25">
      <c r="D6" t="s">
        <v>10</v>
      </c>
      <c r="E6" s="3">
        <f>B$2+E4</f>
        <v>53.959963984540053</v>
      </c>
    </row>
    <row r="7" spans="1:7" x14ac:dyDescent="0.25">
      <c r="D7" t="s">
        <v>11</v>
      </c>
      <c r="E7" s="3">
        <f>B$2-E4</f>
        <v>50.040036015459947</v>
      </c>
      <c r="G7" s="4" t="s">
        <v>14</v>
      </c>
    </row>
    <row r="10" spans="1:7" x14ac:dyDescent="0.25">
      <c r="A10" s="1"/>
      <c r="D10" s="5" t="s">
        <v>7</v>
      </c>
    </row>
    <row r="11" spans="1:7" x14ac:dyDescent="0.25">
      <c r="B11" s="2"/>
      <c r="D11" t="s">
        <v>4</v>
      </c>
      <c r="E11" s="2">
        <v>0.9</v>
      </c>
    </row>
    <row r="12" spans="1:7" x14ac:dyDescent="0.25">
      <c r="B12" s="3"/>
      <c r="D12" t="s">
        <v>1</v>
      </c>
      <c r="E12" s="3">
        <f>1-E11</f>
        <v>9.9999999999999978E-2</v>
      </c>
    </row>
    <row r="13" spans="1:7" x14ac:dyDescent="0.25">
      <c r="B13" s="3"/>
      <c r="D13" t="s">
        <v>9</v>
      </c>
      <c r="E13" s="3">
        <f>_xlfn.CONFIDENCE.NORM(E12,B3,B4)</f>
        <v>1.6448536269514715</v>
      </c>
    </row>
    <row r="14" spans="1:7" x14ac:dyDescent="0.25">
      <c r="D14" t="s">
        <v>2</v>
      </c>
      <c r="E14" t="s">
        <v>12</v>
      </c>
    </row>
    <row r="15" spans="1:7" x14ac:dyDescent="0.25">
      <c r="B15" s="3"/>
      <c r="D15" t="s">
        <v>10</v>
      </c>
      <c r="E15" s="3">
        <f>B2+E13</f>
        <v>53.644853626951473</v>
      </c>
      <c r="G15" s="4" t="s">
        <v>16</v>
      </c>
    </row>
    <row r="16" spans="1:7" x14ac:dyDescent="0.25">
      <c r="B16" s="3"/>
      <c r="D16" t="s">
        <v>11</v>
      </c>
      <c r="E16" s="3">
        <f>B2-E13</f>
        <v>50.355146373048527</v>
      </c>
      <c r="G16" s="4" t="s">
        <v>19</v>
      </c>
    </row>
    <row r="19" spans="1:7" x14ac:dyDescent="0.25">
      <c r="D19" s="5" t="s">
        <v>7</v>
      </c>
    </row>
    <row r="20" spans="1:7" x14ac:dyDescent="0.25">
      <c r="D20" t="s">
        <v>4</v>
      </c>
      <c r="E20" s="2">
        <v>0.99</v>
      </c>
    </row>
    <row r="21" spans="1:7" x14ac:dyDescent="0.25">
      <c r="D21" t="s">
        <v>1</v>
      </c>
      <c r="E21" s="3">
        <f>1-E20</f>
        <v>1.0000000000000009E-2</v>
      </c>
    </row>
    <row r="22" spans="1:7" x14ac:dyDescent="0.25">
      <c r="D22" t="s">
        <v>9</v>
      </c>
      <c r="E22" s="3">
        <f>_xlfn.CONFIDENCE.NORM(E21,B3,B4)</f>
        <v>2.5758293035488999</v>
      </c>
    </row>
    <row r="23" spans="1:7" x14ac:dyDescent="0.25">
      <c r="D23" t="s">
        <v>2</v>
      </c>
      <c r="E23" t="s">
        <v>13</v>
      </c>
    </row>
    <row r="24" spans="1:7" x14ac:dyDescent="0.25">
      <c r="D24" t="s">
        <v>10</v>
      </c>
      <c r="E24" s="3">
        <f>B2+E22</f>
        <v>54.5758293035489</v>
      </c>
      <c r="G24" s="4" t="s">
        <v>17</v>
      </c>
    </row>
    <row r="25" spans="1:7" x14ac:dyDescent="0.25">
      <c r="D25" t="s">
        <v>11</v>
      </c>
      <c r="E25" s="3">
        <f>B2-E22</f>
        <v>49.4241706964511</v>
      </c>
      <c r="G25" s="4" t="s">
        <v>18</v>
      </c>
    </row>
    <row r="28" spans="1:7" x14ac:dyDescent="0.25">
      <c r="A28" s="5" t="s">
        <v>3</v>
      </c>
      <c r="D28" s="5" t="s">
        <v>7</v>
      </c>
    </row>
    <row r="29" spans="1:7" x14ac:dyDescent="0.25">
      <c r="A29" t="s">
        <v>6</v>
      </c>
      <c r="B29">
        <v>52</v>
      </c>
      <c r="D29" t="s">
        <v>4</v>
      </c>
      <c r="E29" s="2">
        <v>0.99</v>
      </c>
    </row>
    <row r="30" spans="1:7" x14ac:dyDescent="0.25">
      <c r="A30" t="s">
        <v>5</v>
      </c>
      <c r="B30">
        <v>9</v>
      </c>
      <c r="D30" t="s">
        <v>1</v>
      </c>
      <c r="E30" s="3">
        <f>1-E29</f>
        <v>1.0000000000000009E-2</v>
      </c>
    </row>
    <row r="31" spans="1:7" x14ac:dyDescent="0.25">
      <c r="A31" t="s">
        <v>0</v>
      </c>
      <c r="B31">
        <f>81*4</f>
        <v>324</v>
      </c>
      <c r="D31" t="s">
        <v>9</v>
      </c>
      <c r="E31" s="3">
        <f>_xlfn.CONFIDENCE.NORM(E30,B30,B31)</f>
        <v>1.28791465177445</v>
      </c>
    </row>
    <row r="32" spans="1:7" x14ac:dyDescent="0.25">
      <c r="D32" t="s">
        <v>2</v>
      </c>
      <c r="E32" t="s">
        <v>15</v>
      </c>
    </row>
    <row r="33" spans="4:7" x14ac:dyDescent="0.25">
      <c r="D33" t="s">
        <v>10</v>
      </c>
      <c r="E33" s="3">
        <f>B29+E31</f>
        <v>53.28791465177445</v>
      </c>
      <c r="G33" s="4" t="s">
        <v>20</v>
      </c>
    </row>
    <row r="34" spans="4:7" x14ac:dyDescent="0.25">
      <c r="D34" t="s">
        <v>11</v>
      </c>
      <c r="E34" s="3">
        <f>B29-E31</f>
        <v>50.71208534822555</v>
      </c>
      <c r="G3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W2_D1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Iole Di Capua</dc:creator>
  <cp:lastModifiedBy>Iole Di Capua</cp:lastModifiedBy>
  <dcterms:created xsi:type="dcterms:W3CDTF">2026-07-06T18:54:27Z</dcterms:created>
  <dcterms:modified xsi:type="dcterms:W3CDTF">2026-07-07T15:41:20Z</dcterms:modified>
</cp:coreProperties>
</file>