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N\Desktop\EPICODE CORSO\esercizi\"/>
    </mc:Choice>
  </mc:AlternateContent>
  <xr:revisionPtr revIDLastSave="0" documentId="13_ncr:1_{13FB3E0E-35AA-4B53-8E85-C28E29EDDC73}" xr6:coauthVersionLast="47" xr6:coauthVersionMax="47" xr10:uidLastSave="{00000000-0000-0000-0000-000000000000}"/>
  <bookViews>
    <workbookView xWindow="-120" yWindow="-120" windowWidth="29040" windowHeight="15720" xr2:uid="{39BBAFF6-076A-2245-A83A-B4C0C143B4B7}"/>
  </bookViews>
  <sheets>
    <sheet name="Esercizio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2" i="2" l="1"/>
  <c r="F56" i="2"/>
  <c r="D56" i="2"/>
  <c r="B49" i="2"/>
  <c r="B50" i="2"/>
  <c r="B51" i="2"/>
  <c r="B52" i="2"/>
  <c r="B53" i="2"/>
  <c r="B48" i="2"/>
  <c r="B33" i="2"/>
  <c r="B34" i="2" s="1"/>
  <c r="B24" i="2"/>
  <c r="B23" i="2"/>
  <c r="B22" i="2"/>
  <c r="E12" i="2"/>
  <c r="B5" i="2"/>
  <c r="B6" i="2"/>
  <c r="B7" i="2"/>
  <c r="B8" i="2"/>
  <c r="B9" i="2"/>
  <c r="B4" i="2"/>
  <c r="D63" i="2"/>
  <c r="A56" i="2" l="1"/>
  <c r="B56" i="2"/>
  <c r="B12" i="2"/>
  <c r="A12" i="2"/>
</calcChain>
</file>

<file path=xl/sharedStrings.xml><?xml version="1.0" encoding="utf-8"?>
<sst xmlns="http://schemas.openxmlformats.org/spreadsheetml/2006/main" count="48" uniqueCount="45">
  <si>
    <t xml:space="preserve">Lanciando un dado, calcola la probabilità che esca un numero pari e un numero superiore a 4. </t>
  </si>
  <si>
    <t>Nella normale con media 50 e dev.stand 8 stima la quota di dati tra 42 e 58.</t>
  </si>
  <si>
    <t>Calcola la Z-score del valore 66 (media 50, dev.st 8) e interpretalo</t>
  </si>
  <si>
    <t xml:space="preserve">Estraendo una carta da un mazzo da 40, qual è la probabilità che sia una figura. </t>
  </si>
  <si>
    <t>Due lanci di dado indipendenti: probabilità di due numeri pari? E di alemeno un 6?</t>
  </si>
  <si>
    <t xml:space="preserve">P(D3) = </t>
  </si>
  <si>
    <t>nessun 6</t>
  </si>
  <si>
    <t>Calcola la probabilità che un valore sia sotto Z = 1,5 nella normale.</t>
  </si>
  <si>
    <t>mean</t>
  </si>
  <si>
    <t>dev_st</t>
  </si>
  <si>
    <t>mena</t>
  </si>
  <si>
    <t>dev st</t>
  </si>
  <si>
    <t>x</t>
  </si>
  <si>
    <t>z</t>
  </si>
  <si>
    <t>lim_sup</t>
  </si>
  <si>
    <t>lim_inf</t>
  </si>
  <si>
    <t>P(nessun 6)</t>
  </si>
  <si>
    <t>P(X≤58)</t>
  </si>
  <si>
    <t>P(X≤42)</t>
  </si>
  <si>
    <t>P(42≤X≤58)</t>
  </si>
  <si>
    <t xml:space="preserve">casi possibili </t>
  </si>
  <si>
    <t xml:space="preserve">casi pari &amp; dispari </t>
  </si>
  <si>
    <t xml:space="preserve">N pari </t>
  </si>
  <si>
    <t xml:space="preserve">N dispari </t>
  </si>
  <si>
    <t>P(n. pari)</t>
  </si>
  <si>
    <t>P(n.&gt;4)</t>
  </si>
  <si>
    <t>P(n.pari e &gt;4)</t>
  </si>
  <si>
    <t>Esercizio 1.</t>
  </si>
  <si>
    <t>Esercizio 2.</t>
  </si>
  <si>
    <t>circa il 68% dei dati</t>
  </si>
  <si>
    <t>Esercizio 3.</t>
  </si>
  <si>
    <t>P(z)</t>
  </si>
  <si>
    <t xml:space="preserve">circa il 98 % dei dati è al di sotto di quel valore </t>
  </si>
  <si>
    <t>Esercizio 4.</t>
  </si>
  <si>
    <t>casi</t>
  </si>
  <si>
    <t>casi favorevoli</t>
  </si>
  <si>
    <t>P(una figura)</t>
  </si>
  <si>
    <t>Esercizio 5.</t>
  </si>
  <si>
    <t>casi pari &amp; dispari</t>
  </si>
  <si>
    <t>pari</t>
  </si>
  <si>
    <t xml:space="preserve">dispari </t>
  </si>
  <si>
    <t>P(n pari)</t>
  </si>
  <si>
    <t>P(2 n pari)</t>
  </si>
  <si>
    <t>P(almeno un 6 su due lanci)</t>
  </si>
  <si>
    <t>Esercizio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</si>
</sst>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1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12" fontId="1" fillId="0" borderId="0" xfId="0" applyNumberFormat="1" applyFont="1"/>
    <xf numFmtId="1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0" xfId="0" applyFont="1" applyFill="1"/>
    <xf numFmtId="0" fontId="3" fillId="0" borderId="0" xfId="0" applyFont="1"/>
    <xf numFmtId="9" fontId="0" fillId="0" borderId="1" xfId="1" applyFont="1" applyBorder="1" applyAlignment="1">
      <alignment horizontal="center"/>
    </xf>
    <xf numFmtId="12" fontId="3" fillId="0" borderId="0" xfId="0" applyNumberFormat="1" applyFont="1"/>
    <xf numFmtId="12" fontId="0" fillId="0" borderId="1" xfId="1" applyNumberFormat="1" applyFont="1" applyBorder="1" applyAlignment="1">
      <alignment horizontal="center"/>
    </xf>
    <xf numFmtId="12" fontId="1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7F1C-C718-4EAF-956D-341BFD1F3613}">
  <dimension ref="A1:U67"/>
  <sheetViews>
    <sheetView tabSelected="1" topLeftCell="A31" workbookViewId="0">
      <selection activeCell="A59" sqref="A59"/>
    </sheetView>
  </sheetViews>
  <sheetFormatPr defaultRowHeight="15.75" x14ac:dyDescent="0.25"/>
  <cols>
    <col min="1" max="1" width="14.375" customWidth="1"/>
    <col min="2" max="2" width="15.375" customWidth="1"/>
    <col min="4" max="4" width="10.875" bestFit="1" customWidth="1"/>
    <col min="5" max="5" width="11.875" customWidth="1"/>
    <col min="6" max="6" width="27.375" customWidth="1"/>
    <col min="7" max="7" width="10.875" bestFit="1" customWidth="1"/>
    <col min="8" max="8" width="15" customWidth="1"/>
    <col min="9" max="9" width="16.75" customWidth="1"/>
    <col min="14" max="14" width="12.125" customWidth="1"/>
    <col min="15" max="15" width="11.375" customWidth="1"/>
  </cols>
  <sheetData>
    <row r="1" spans="1:21" s="4" customFormat="1" x14ac:dyDescent="0.25">
      <c r="A1" s="12" t="s">
        <v>27</v>
      </c>
      <c r="B1" s="13" t="s">
        <v>0</v>
      </c>
    </row>
    <row r="3" spans="1:21" x14ac:dyDescent="0.25">
      <c r="A3" s="11" t="s">
        <v>20</v>
      </c>
      <c r="B3" s="11" t="s">
        <v>21</v>
      </c>
      <c r="D3" s="1"/>
      <c r="O3" s="1"/>
      <c r="P3" s="1"/>
      <c r="Q3" s="1"/>
      <c r="R3" s="1"/>
      <c r="S3" s="1"/>
      <c r="T3" s="1"/>
      <c r="U3" s="1"/>
    </row>
    <row r="4" spans="1:21" x14ac:dyDescent="0.25">
      <c r="A4" s="8">
        <v>1</v>
      </c>
      <c r="B4" s="8">
        <f>MOD(A4,2)</f>
        <v>1</v>
      </c>
      <c r="D4" s="3"/>
      <c r="E4" s="6"/>
    </row>
    <row r="5" spans="1:21" x14ac:dyDescent="0.25">
      <c r="A5" s="8">
        <v>2</v>
      </c>
      <c r="B5" s="8">
        <f t="shared" ref="B5:B9" si="0">MOD(A5,2)</f>
        <v>0</v>
      </c>
      <c r="F5" s="1"/>
    </row>
    <row r="6" spans="1:21" x14ac:dyDescent="0.25">
      <c r="A6" s="8">
        <v>3</v>
      </c>
      <c r="B6" s="8">
        <f t="shared" si="0"/>
        <v>1</v>
      </c>
      <c r="D6" s="1"/>
    </row>
    <row r="7" spans="1:21" s="4" customFormat="1" x14ac:dyDescent="0.25">
      <c r="A7" s="8">
        <v>4</v>
      </c>
      <c r="B7" s="8">
        <f t="shared" si="0"/>
        <v>0</v>
      </c>
    </row>
    <row r="8" spans="1:21" x14ac:dyDescent="0.25">
      <c r="A8" s="8">
        <v>5</v>
      </c>
      <c r="B8" s="8">
        <f t="shared" si="0"/>
        <v>1</v>
      </c>
    </row>
    <row r="9" spans="1:21" x14ac:dyDescent="0.25">
      <c r="A9" s="8">
        <v>6</v>
      </c>
      <c r="B9" s="8">
        <f t="shared" si="0"/>
        <v>0</v>
      </c>
    </row>
    <row r="10" spans="1:21" s="4" customFormat="1" x14ac:dyDescent="0.25"/>
    <row r="11" spans="1:21" x14ac:dyDescent="0.25">
      <c r="A11" s="9" t="s">
        <v>22</v>
      </c>
      <c r="B11" s="9" t="s">
        <v>23</v>
      </c>
      <c r="C11" s="9" t="s">
        <v>24</v>
      </c>
      <c r="D11" s="9" t="s">
        <v>25</v>
      </c>
      <c r="E11" s="9" t="s">
        <v>26</v>
      </c>
    </row>
    <row r="12" spans="1:21" x14ac:dyDescent="0.25">
      <c r="A12" s="8">
        <f>COUNTIF(B4:B9,0)</f>
        <v>3</v>
      </c>
      <c r="B12" s="8">
        <f>COUNTIF(B4:B9,1)</f>
        <v>3</v>
      </c>
      <c r="C12" s="10">
        <v>0.5</v>
      </c>
      <c r="D12" s="10">
        <v>0.33333333333333331</v>
      </c>
      <c r="E12" s="10">
        <f>1/6</f>
        <v>0.16666666666666666</v>
      </c>
    </row>
    <row r="13" spans="1:21" s="4" customFormat="1" x14ac:dyDescent="0.25"/>
    <row r="15" spans="1:21" x14ac:dyDescent="0.25">
      <c r="A15" s="12" t="s">
        <v>28</v>
      </c>
      <c r="B15" s="13" t="s">
        <v>1</v>
      </c>
    </row>
    <row r="17" spans="1:7" x14ac:dyDescent="0.25">
      <c r="A17" s="11" t="s">
        <v>8</v>
      </c>
      <c r="B17" s="8">
        <v>50</v>
      </c>
    </row>
    <row r="18" spans="1:7" x14ac:dyDescent="0.25">
      <c r="A18" s="11" t="s">
        <v>9</v>
      </c>
      <c r="B18" s="8">
        <v>8</v>
      </c>
    </row>
    <row r="19" spans="1:7" x14ac:dyDescent="0.25">
      <c r="A19" s="11" t="s">
        <v>14</v>
      </c>
      <c r="B19" s="8">
        <v>58</v>
      </c>
    </row>
    <row r="20" spans="1:7" x14ac:dyDescent="0.25">
      <c r="A20" s="11" t="s">
        <v>15</v>
      </c>
      <c r="B20" s="8">
        <v>42</v>
      </c>
    </row>
    <row r="21" spans="1:7" x14ac:dyDescent="0.25">
      <c r="A21" s="2"/>
      <c r="B21" s="2"/>
    </row>
    <row r="22" spans="1:7" x14ac:dyDescent="0.25">
      <c r="A22" s="9" t="s">
        <v>17</v>
      </c>
      <c r="B22" s="14">
        <f>_xlfn.NORM.DIST(B19,B17,B18,TRUE)</f>
        <v>0.84134474606854304</v>
      </c>
    </row>
    <row r="23" spans="1:7" s="4" customFormat="1" x14ac:dyDescent="0.25">
      <c r="A23" s="9" t="s">
        <v>18</v>
      </c>
      <c r="B23" s="14">
        <f>_xlfn.NORM.DIST(B20,B17,B18,TRUE)</f>
        <v>0.15865525393145699</v>
      </c>
    </row>
    <row r="24" spans="1:7" x14ac:dyDescent="0.25">
      <c r="A24" s="9" t="s">
        <v>19</v>
      </c>
      <c r="B24" s="14">
        <f>(_xlfn.NORM.DIST(B19,B17,B18,TRUE)-(_xlfn.NORM.DIST(B20,B17,B18,TRUE)))</f>
        <v>0.68268949213708607</v>
      </c>
      <c r="D24" s="13" t="s">
        <v>29</v>
      </c>
    </row>
    <row r="27" spans="1:7" x14ac:dyDescent="0.25">
      <c r="A27" s="12" t="s">
        <v>30</v>
      </c>
      <c r="B27" s="13" t="s">
        <v>2</v>
      </c>
    </row>
    <row r="28" spans="1:7" x14ac:dyDescent="0.25">
      <c r="D28" s="1"/>
    </row>
    <row r="29" spans="1:7" x14ac:dyDescent="0.25">
      <c r="A29" s="11" t="s">
        <v>12</v>
      </c>
      <c r="B29" s="8">
        <v>66</v>
      </c>
    </row>
    <row r="30" spans="1:7" x14ac:dyDescent="0.25">
      <c r="A30" s="11" t="s">
        <v>10</v>
      </c>
      <c r="B30" s="8">
        <v>50</v>
      </c>
      <c r="D30" s="1"/>
    </row>
    <row r="31" spans="1:7" x14ac:dyDescent="0.25">
      <c r="A31" s="11" t="s">
        <v>11</v>
      </c>
      <c r="B31" s="8">
        <v>8</v>
      </c>
      <c r="C31" s="4"/>
      <c r="D31" s="5"/>
      <c r="E31" s="4"/>
      <c r="F31" s="4"/>
      <c r="G31" s="4"/>
    </row>
    <row r="32" spans="1:7" x14ac:dyDescent="0.25">
      <c r="A32" s="4"/>
      <c r="D32" s="1"/>
    </row>
    <row r="33" spans="1:7" x14ac:dyDescent="0.25">
      <c r="A33" s="9" t="s">
        <v>13</v>
      </c>
      <c r="B33" s="8">
        <f>STANDARDIZE(B29,B30,B31)</f>
        <v>2</v>
      </c>
      <c r="C33" s="4"/>
      <c r="D33" s="5"/>
      <c r="E33" s="4"/>
      <c r="F33" s="4"/>
      <c r="G33" s="4"/>
    </row>
    <row r="34" spans="1:7" x14ac:dyDescent="0.25">
      <c r="A34" s="9" t="s">
        <v>31</v>
      </c>
      <c r="B34" s="14">
        <f>_xlfn.NORM.S.DIST(B33,TRUE)</f>
        <v>0.97724986805182079</v>
      </c>
      <c r="D34" s="15" t="s">
        <v>32</v>
      </c>
    </row>
    <row r="35" spans="1:7" x14ac:dyDescent="0.25">
      <c r="A35" s="3"/>
      <c r="B35" s="7"/>
    </row>
    <row r="36" spans="1:7" x14ac:dyDescent="0.25">
      <c r="D36" s="1"/>
    </row>
    <row r="37" spans="1:7" x14ac:dyDescent="0.25">
      <c r="A37" s="12" t="s">
        <v>33</v>
      </c>
      <c r="B37" s="13" t="s">
        <v>3</v>
      </c>
    </row>
    <row r="39" spans="1:7" s="2" customFormat="1" x14ac:dyDescent="0.25">
      <c r="A39" s="11" t="s">
        <v>34</v>
      </c>
      <c r="B39" s="11" t="s">
        <v>35</v>
      </c>
    </row>
    <row r="40" spans="1:7" s="2" customFormat="1" x14ac:dyDescent="0.25">
      <c r="A40" s="8">
        <v>40</v>
      </c>
      <c r="B40" s="8">
        <v>12</v>
      </c>
    </row>
    <row r="41" spans="1:7" s="2" customFormat="1" x14ac:dyDescent="0.25"/>
    <row r="42" spans="1:7" s="2" customFormat="1" x14ac:dyDescent="0.25">
      <c r="A42" s="9" t="s">
        <v>36</v>
      </c>
      <c r="B42" s="14">
        <v>0.3</v>
      </c>
    </row>
    <row r="45" spans="1:7" x14ac:dyDescent="0.25">
      <c r="A45" s="12" t="s">
        <v>37</v>
      </c>
      <c r="B45" s="13" t="s">
        <v>4</v>
      </c>
    </row>
    <row r="47" spans="1:7" x14ac:dyDescent="0.25">
      <c r="A47" s="11" t="s">
        <v>34</v>
      </c>
      <c r="B47" s="11" t="s">
        <v>38</v>
      </c>
      <c r="E47" s="4"/>
      <c r="F47" s="4"/>
      <c r="G47" s="4"/>
    </row>
    <row r="48" spans="1:7" x14ac:dyDescent="0.25">
      <c r="A48" s="8">
        <v>1</v>
      </c>
      <c r="B48" s="8">
        <f>MOD(A48,2)</f>
        <v>1</v>
      </c>
      <c r="E48" s="4"/>
      <c r="F48" s="4"/>
    </row>
    <row r="49" spans="1:7" x14ac:dyDescent="0.25">
      <c r="A49" s="8">
        <v>2</v>
      </c>
      <c r="B49" s="8">
        <f t="shared" ref="B49:B53" si="1">MOD(A49,2)</f>
        <v>0</v>
      </c>
    </row>
    <row r="50" spans="1:7" x14ac:dyDescent="0.25">
      <c r="A50" s="8">
        <v>3</v>
      </c>
      <c r="B50" s="8">
        <f t="shared" si="1"/>
        <v>1</v>
      </c>
    </row>
    <row r="51" spans="1:7" x14ac:dyDescent="0.25">
      <c r="A51" s="8">
        <v>4</v>
      </c>
      <c r="B51" s="8">
        <f t="shared" si="1"/>
        <v>0</v>
      </c>
    </row>
    <row r="52" spans="1:7" x14ac:dyDescent="0.25">
      <c r="A52" s="8">
        <v>5</v>
      </c>
      <c r="B52" s="8">
        <f t="shared" si="1"/>
        <v>1</v>
      </c>
    </row>
    <row r="53" spans="1:7" x14ac:dyDescent="0.25">
      <c r="A53" s="8">
        <v>6</v>
      </c>
      <c r="B53" s="8">
        <f t="shared" si="1"/>
        <v>0</v>
      </c>
    </row>
    <row r="55" spans="1:7" x14ac:dyDescent="0.25">
      <c r="A55" s="9" t="s">
        <v>39</v>
      </c>
      <c r="B55" s="17" t="s">
        <v>40</v>
      </c>
      <c r="C55" s="9" t="s">
        <v>41</v>
      </c>
      <c r="D55" s="9" t="s">
        <v>42</v>
      </c>
      <c r="E55" s="9" t="s">
        <v>16</v>
      </c>
      <c r="F55" s="9" t="s">
        <v>43</v>
      </c>
    </row>
    <row r="56" spans="1:7" x14ac:dyDescent="0.25">
      <c r="A56" s="8">
        <f>COUNTIF(B48:B53,0)</f>
        <v>3</v>
      </c>
      <c r="B56" s="10">
        <f>COUNTIF(B48:B53,1)</f>
        <v>3</v>
      </c>
      <c r="C56" s="14">
        <v>0.5</v>
      </c>
      <c r="D56" s="14">
        <f>1/2*1/2</f>
        <v>0.25</v>
      </c>
      <c r="E56" s="16">
        <v>0.83333333333333337</v>
      </c>
      <c r="F56" s="14">
        <f>1-(E56*E56)</f>
        <v>0.30555555555555547</v>
      </c>
    </row>
    <row r="59" spans="1:7" x14ac:dyDescent="0.25">
      <c r="A59" s="12" t="s">
        <v>44</v>
      </c>
      <c r="B59" s="4" t="s">
        <v>7</v>
      </c>
    </row>
    <row r="61" spans="1:7" x14ac:dyDescent="0.25">
      <c r="A61" s="9" t="s">
        <v>13</v>
      </c>
      <c r="B61" s="8">
        <v>1.5</v>
      </c>
    </row>
    <row r="62" spans="1:7" x14ac:dyDescent="0.25">
      <c r="A62" s="9" t="s">
        <v>31</v>
      </c>
      <c r="B62" s="14">
        <f>_xlfn.NORM.S.DIST(B61,TRUE)</f>
        <v>0.93319279873114191</v>
      </c>
    </row>
    <row r="63" spans="1:7" ht="0.75" customHeight="1" x14ac:dyDescent="0.25">
      <c r="B63" t="s">
        <v>6</v>
      </c>
      <c r="C63" s="3" t="s">
        <v>5</v>
      </c>
      <c r="D63" s="6">
        <f>(5/6*5/6)</f>
        <v>0.69444444444444453</v>
      </c>
      <c r="F63" s="3"/>
      <c r="G63" s="2"/>
    </row>
    <row r="65" spans="2:7" x14ac:dyDescent="0.25">
      <c r="D65" s="1"/>
    </row>
    <row r="66" spans="2:7" x14ac:dyDescent="0.25">
      <c r="B66" s="4"/>
      <c r="C66" s="4"/>
      <c r="D66" s="5"/>
      <c r="E66" s="4"/>
      <c r="F66" s="4"/>
      <c r="G66" s="4"/>
    </row>
    <row r="67" spans="2:7" x14ac:dyDescent="0.25">
      <c r="D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Esercizio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</dc:creator>
  <cp:lastModifiedBy>Iole Di Capua</cp:lastModifiedBy>
  <dcterms:created xsi:type="dcterms:W3CDTF">2026-07-02T17:29:44Z</dcterms:created>
  <dcterms:modified xsi:type="dcterms:W3CDTF">2026-07-08T09:52:09Z</dcterms:modified>
</cp:coreProperties>
</file>